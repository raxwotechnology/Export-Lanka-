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y" state="visible" r:id="rId4"/>
    <sheet sheetId="2" name="June" state="visible" r:id="rId5"/>
    <sheet sheetId="3" name="July" state="visible" r:id="rId6"/>
    <sheet sheetId="4" name="Augest" state="visible" r:id="rId7"/>
    <sheet sheetId="5" name="October" state="visible" r:id="rId8"/>
    <sheet sheetId="6" name="November" state="visible" r:id="rId9"/>
    <sheet sheetId="7" name="December" state="visible" r:id="rId10"/>
    <sheet sheetId="8" name="January" state="visible" r:id="rId11"/>
    <sheet sheetId="9" name="February" state="visible" r:id="rId12"/>
    <sheet sheetId="10" name="March" state="visible" r:id="rId13"/>
    <sheet sheetId="11" name="April" state="visible" r:id="rId14"/>
    <sheet sheetId="12" name="May-26" state="visible" r:id="rId15"/>
  </sheets>
  <calcPr calcId="171027"/>
</workbook>
</file>

<file path=xl/sharedStrings.xml><?xml version="1.0" encoding="utf-8"?>
<sst xmlns="http://schemas.openxmlformats.org/spreadsheetml/2006/main" count="3531" uniqueCount="1405">
  <si>
    <t>Date</t>
  </si>
  <si>
    <t>Ref No</t>
  </si>
  <si>
    <t>Item</t>
  </si>
  <si>
    <t>Suppier</t>
  </si>
  <si>
    <t>Amount</t>
  </si>
  <si>
    <t>Row materials</t>
  </si>
  <si>
    <t>Chemicals</t>
  </si>
  <si>
    <t>Transport</t>
  </si>
  <si>
    <t>Welfair</t>
  </si>
  <si>
    <t>Fuel</t>
  </si>
  <si>
    <t>Maintenance</t>
  </si>
  <si>
    <t>Stationary</t>
  </si>
  <si>
    <t>Misc wages</t>
  </si>
  <si>
    <t>Wood</t>
  </si>
  <si>
    <t>Other</t>
  </si>
  <si>
    <t>Balance ( Cash in hand )</t>
  </si>
  <si>
    <t>Nos</t>
  </si>
  <si>
    <t>Rate</t>
  </si>
  <si>
    <t>Cost</t>
  </si>
  <si>
    <t>2025.05.27</t>
  </si>
  <si>
    <t>Petty cash from Mr.Jayantha</t>
  </si>
  <si>
    <t>Parcel post - Heenboviyiya 50kg</t>
  </si>
  <si>
    <t>Post office</t>
  </si>
  <si>
    <t>Vegitable for sample (carrot,leeks,onion)</t>
  </si>
  <si>
    <t>Suncity Family</t>
  </si>
  <si>
    <t>Printout (Dispatch note)</t>
  </si>
  <si>
    <t>Malsha comminication</t>
  </si>
  <si>
    <t>Biscuts and suger</t>
  </si>
  <si>
    <t>Beragama stores</t>
  </si>
  <si>
    <t>2025.05.28</t>
  </si>
  <si>
    <t>Petty cash from Mr.Jayantha (Rs. 105000 )</t>
  </si>
  <si>
    <t>Transport cost to Horana - LM-2088</t>
  </si>
  <si>
    <t>Highway ticket - Sooriyawewa</t>
  </si>
  <si>
    <t>Highway ticket - Gelanigama</t>
  </si>
  <si>
    <t xml:space="preserve"> Lunch</t>
  </si>
  <si>
    <t>Nisansala rest</t>
  </si>
  <si>
    <t>Tea</t>
  </si>
  <si>
    <t>Rebel chef</t>
  </si>
  <si>
    <t>Gate pass ( 2person, lorry )</t>
  </si>
  <si>
    <t>Horana zone</t>
  </si>
  <si>
    <t>2025.05.29</t>
  </si>
  <si>
    <t>Fresh Moringa</t>
  </si>
  <si>
    <t>Dilshan</t>
  </si>
  <si>
    <t>2025.05.30</t>
  </si>
  <si>
    <t>Carrot 4kg for sample</t>
  </si>
  <si>
    <t>Balance petty cash from Shanilka ( Rs. 930.00 )</t>
  </si>
  <si>
    <t>2025.05.31</t>
  </si>
  <si>
    <t>Vegitable for sample (500g * 10 )</t>
  </si>
  <si>
    <t>Photocopy</t>
  </si>
  <si>
    <t>Balance end of the month</t>
  </si>
  <si>
    <t>2025.06.01</t>
  </si>
  <si>
    <t>B/F</t>
  </si>
  <si>
    <t>Rohana</t>
  </si>
  <si>
    <t>Tharusha</t>
  </si>
  <si>
    <t>Ishan</t>
  </si>
  <si>
    <t>Petrol - Supun (Moringa suppliers)</t>
  </si>
  <si>
    <t>Lanka Filling Station</t>
  </si>
  <si>
    <t>Tea - Supun/Tharusha</t>
  </si>
  <si>
    <t>Jana Awanhala</t>
  </si>
  <si>
    <t>2025.06.02</t>
  </si>
  <si>
    <t>Iresh</t>
  </si>
  <si>
    <t>Suger / Tea powder</t>
  </si>
  <si>
    <t>2025.06.03</t>
  </si>
  <si>
    <t>2025.06.04</t>
  </si>
  <si>
    <t>Singhe Timber Mill</t>
  </si>
  <si>
    <t>Tea - Supun/Tharusha (wood transport )</t>
  </si>
  <si>
    <t xml:space="preserve">Currier service - Moringa tea cut </t>
  </si>
  <si>
    <t>Prompt Xpress</t>
  </si>
  <si>
    <t>2025.06.05</t>
  </si>
  <si>
    <t>Chandana</t>
  </si>
  <si>
    <t>Amila</t>
  </si>
  <si>
    <t>Dired moringa transport from Buththala</t>
  </si>
  <si>
    <t>Jagath / PU-2190</t>
  </si>
  <si>
    <t>2025.06.06</t>
  </si>
  <si>
    <t>Petty cash from Chathura (35000)</t>
  </si>
  <si>
    <t>Moringa Transport to Horana / LM-2088</t>
  </si>
  <si>
    <t>Highway - Sooriyawewa</t>
  </si>
  <si>
    <t>Southern Highway</t>
  </si>
  <si>
    <t>Lunch</t>
  </si>
  <si>
    <t>Gethyaya Gimanhala</t>
  </si>
  <si>
    <t>Herath stores</t>
  </si>
  <si>
    <t>Dinner</t>
  </si>
  <si>
    <t>Udula Hotel</t>
  </si>
  <si>
    <t>Tyre change</t>
  </si>
  <si>
    <t>Lasiri motors</t>
  </si>
  <si>
    <t>Gate pass ( 2 person+vehicle)</t>
  </si>
  <si>
    <t>Industrial zone</t>
  </si>
  <si>
    <t>2025.06.07</t>
  </si>
  <si>
    <t>Petty cash from Chathura (16000)</t>
  </si>
  <si>
    <t>New Singhe Timber Mill</t>
  </si>
  <si>
    <t>Tea - wood transport (Supun/Tharusha)</t>
  </si>
  <si>
    <t>Supun</t>
  </si>
  <si>
    <t>Petty cash from Chathura (20000)</t>
  </si>
  <si>
    <t>2025.06.08</t>
  </si>
  <si>
    <t>Gotukola</t>
  </si>
  <si>
    <t>2025.06.09</t>
  </si>
  <si>
    <t>Nishantha</t>
  </si>
  <si>
    <t>Postal charges - Gotukola</t>
  </si>
  <si>
    <t>Petrol - Vidura</t>
  </si>
  <si>
    <t>2025.06.10</t>
  </si>
  <si>
    <t>Petty cash / Arrears (137,910.00)</t>
  </si>
  <si>
    <t>2025.06.11</t>
  </si>
  <si>
    <t>Chaminda - Jackfruit arrears</t>
  </si>
  <si>
    <t>Dilshan - Jackfruit arrears</t>
  </si>
  <si>
    <t>Pradeep Timber Mill</t>
  </si>
  <si>
    <t>CR / Note books</t>
  </si>
  <si>
    <t>Master bookshop</t>
  </si>
  <si>
    <t>Photocopy (GRN 100 sheets)</t>
  </si>
  <si>
    <t>Saho kitchen</t>
  </si>
  <si>
    <t>Biscuts/Suger/Tea Powder</t>
  </si>
  <si>
    <t>Petrol - Vidura (moringa farmers)</t>
  </si>
  <si>
    <t>2025.06.12</t>
  </si>
  <si>
    <t>Arachchi - Jackfruit arrears</t>
  </si>
  <si>
    <t>Priyantha</t>
  </si>
  <si>
    <t>Lunch - Vidura</t>
  </si>
  <si>
    <t>Vithana Buffe</t>
  </si>
  <si>
    <t>2025.06.13</t>
  </si>
  <si>
    <t>Advance for heenbovitiya 500Kg</t>
  </si>
  <si>
    <t>Tharanga</t>
  </si>
  <si>
    <t>IOC</t>
  </si>
  <si>
    <t>Kodis Cafe</t>
  </si>
  <si>
    <t>Chaminda</t>
  </si>
  <si>
    <t>Petty cash from vidura (90,000)</t>
  </si>
  <si>
    <t>2025.06.14</t>
  </si>
  <si>
    <t>CR book / Parmanent pen</t>
  </si>
  <si>
    <t>Photo copy/Tipex</t>
  </si>
  <si>
    <t>Semini Hotel</t>
  </si>
  <si>
    <t>2025.06.15</t>
  </si>
  <si>
    <t>Piyumi</t>
  </si>
  <si>
    <t>Petty cash from vidura (60000)</t>
  </si>
  <si>
    <t>Hire - Heenbovitiya from Palaabaddala/Pelmadulla</t>
  </si>
  <si>
    <t>Heenbovitiya</t>
  </si>
  <si>
    <t>Nayana</t>
  </si>
  <si>
    <t>Mahesh</t>
  </si>
  <si>
    <t>Tea - Vidura  at 2025/06/12</t>
  </si>
  <si>
    <t>J.P. Sarath Ruwan</t>
  </si>
  <si>
    <t>2025.06.16</t>
  </si>
  <si>
    <t>Cardboard box</t>
  </si>
  <si>
    <t>Pananwela stores</t>
  </si>
  <si>
    <t>Gearbox oil</t>
  </si>
  <si>
    <t>Prasanna service</t>
  </si>
  <si>
    <t>Sewwandi Tea Room</t>
  </si>
  <si>
    <t>Diesel for landmaster</t>
  </si>
  <si>
    <t>2025.06.17</t>
  </si>
  <si>
    <t>Gunaseeli</t>
  </si>
  <si>
    <t>2025.06.18</t>
  </si>
  <si>
    <t>Petty cash from Vidura (60000)</t>
  </si>
  <si>
    <t>Hire to Embilipitiya (Hennbovitiya powder)</t>
  </si>
  <si>
    <t>2025.06.19</t>
  </si>
  <si>
    <t>Charger for Weight scale</t>
  </si>
  <si>
    <t>Iresha Electronics</t>
  </si>
  <si>
    <t>Shantha</t>
  </si>
  <si>
    <t>2025.06.20</t>
  </si>
  <si>
    <t>Wasantha</t>
  </si>
  <si>
    <t>2025.06.21</t>
  </si>
  <si>
    <t>Lakshitha</t>
  </si>
  <si>
    <t>2025.06.22</t>
  </si>
  <si>
    <t>Pumpkin for sample</t>
  </si>
  <si>
    <t>Suncity Family mart</t>
  </si>
  <si>
    <t>2025.06.23</t>
  </si>
  <si>
    <t>Fresh Moringa - Land visit</t>
  </si>
  <si>
    <t>Vijitha</t>
  </si>
  <si>
    <t>Asanka</t>
  </si>
  <si>
    <t>Moringa Transport hire &amp; driver salary</t>
  </si>
  <si>
    <t>L.K. Samarasingha</t>
  </si>
  <si>
    <t>Diesel for Moringa transport</t>
  </si>
  <si>
    <t>Petrol - Vidurra</t>
  </si>
  <si>
    <t>Cypetco</t>
  </si>
  <si>
    <t>Lunch - Vidura/chaminda</t>
  </si>
  <si>
    <t>Imasha Hotel</t>
  </si>
  <si>
    <t>Fresh moringa</t>
  </si>
  <si>
    <t>suger / Tea powder</t>
  </si>
  <si>
    <t>2025.06.24</t>
  </si>
  <si>
    <t>Banana,Mango,Papaya for sample</t>
  </si>
  <si>
    <t>Lasith Palathuru</t>
  </si>
  <si>
    <t>Peera for chainshow</t>
  </si>
  <si>
    <t>New P &amp; C hardware</t>
  </si>
  <si>
    <t>Petty cash ( 60,000)</t>
  </si>
  <si>
    <t>Premalal</t>
  </si>
  <si>
    <t>Kaamaranga</t>
  </si>
  <si>
    <t>Nalin</t>
  </si>
  <si>
    <t>Lunch - vidura</t>
  </si>
  <si>
    <t>Sagarika hotel</t>
  </si>
  <si>
    <t>Tea - Vidura</t>
  </si>
  <si>
    <t>H.G.R. Storse</t>
  </si>
  <si>
    <t>2025.06.25</t>
  </si>
  <si>
    <t>Ceypetco</t>
  </si>
  <si>
    <t>2025.06.26</t>
  </si>
  <si>
    <t>Petrol - Chathura/ Embilipitiya for sample</t>
  </si>
  <si>
    <t>Bus / Sample transport - NE 1869</t>
  </si>
  <si>
    <t>Salt, Pepper, Hand wash</t>
  </si>
  <si>
    <t>2025.06.27</t>
  </si>
  <si>
    <t>J.H. Ranasingha</t>
  </si>
  <si>
    <t>Elegant Restaurant</t>
  </si>
  <si>
    <t>2025.06.28</t>
  </si>
  <si>
    <t>Diul, beli, Soursop</t>
  </si>
  <si>
    <t>Sisira</t>
  </si>
  <si>
    <t>Vidura - petrol</t>
  </si>
  <si>
    <t>2025.06.29</t>
  </si>
  <si>
    <t>Petty cash (35,000)</t>
  </si>
  <si>
    <t>Gunathilaka</t>
  </si>
  <si>
    <t>2025.06.30</t>
  </si>
  <si>
    <t>Petty cash (20,000)</t>
  </si>
  <si>
    <t>Pora kawara</t>
  </si>
  <si>
    <t>Packing</t>
  </si>
  <si>
    <t>2025.07.01</t>
  </si>
  <si>
    <t>Material</t>
  </si>
  <si>
    <t>Postal charges - Moringa tea cut</t>
  </si>
  <si>
    <t>3 wheel hire - Sooriyawewa</t>
  </si>
  <si>
    <t>Received Petty cash 50,000.00</t>
  </si>
  <si>
    <t>2025.07.02</t>
  </si>
  <si>
    <t>Diesel</t>
  </si>
  <si>
    <t>Madushanka Hotel</t>
  </si>
  <si>
    <t>Biscut</t>
  </si>
  <si>
    <t>Prabath stores</t>
  </si>
  <si>
    <t>Asiri</t>
  </si>
  <si>
    <t>Petrol - vidura</t>
  </si>
  <si>
    <t>Pol Athu bath kade</t>
  </si>
  <si>
    <t>2025.07.03</t>
  </si>
  <si>
    <t>Petty cash (30,000)</t>
  </si>
  <si>
    <t>Pasidu</t>
  </si>
  <si>
    <t>Kodis café</t>
  </si>
  <si>
    <t>Tea - vidura</t>
  </si>
  <si>
    <t>Pradeep stores</t>
  </si>
  <si>
    <t>Suger / Tea</t>
  </si>
  <si>
    <t>2025.07.04</t>
  </si>
  <si>
    <t>Sanidu</t>
  </si>
  <si>
    <t>2025.07.05</t>
  </si>
  <si>
    <t>Waadiya buffet</t>
  </si>
  <si>
    <t>Beli mal, Polpala, Ranawara, Iramusu</t>
  </si>
  <si>
    <t>Ayurweda shop</t>
  </si>
  <si>
    <t>2025.07.06</t>
  </si>
  <si>
    <t>Petty cash (50,000)</t>
  </si>
  <si>
    <t>Soap, S-lon glu</t>
  </si>
  <si>
    <t>Sanjaya hardwear</t>
  </si>
  <si>
    <t>Renu</t>
  </si>
  <si>
    <t>Nandana</t>
  </si>
  <si>
    <t>2025.07.07</t>
  </si>
  <si>
    <t>Ape amma</t>
  </si>
  <si>
    <t>Blender nut</t>
  </si>
  <si>
    <t>Iresha Electrical</t>
  </si>
  <si>
    <t>Sumith</t>
  </si>
  <si>
    <t>2025.07.08</t>
  </si>
  <si>
    <t>New Singha Timber</t>
  </si>
  <si>
    <t>Sewmini Buffet</t>
  </si>
  <si>
    <t>2025.07.09</t>
  </si>
  <si>
    <t>Petty cash</t>
  </si>
  <si>
    <t>2025.07.10</t>
  </si>
  <si>
    <t>2025.07.11</t>
  </si>
  <si>
    <t>Suger</t>
  </si>
  <si>
    <t>Curry leaves</t>
  </si>
  <si>
    <t>Harshani</t>
  </si>
  <si>
    <t>Shiromala</t>
  </si>
  <si>
    <t>Ruwan</t>
  </si>
  <si>
    <t>Samidu</t>
  </si>
  <si>
    <t>Moringa leaves</t>
  </si>
  <si>
    <t>2025.07.12</t>
  </si>
  <si>
    <t>Mr. Chef</t>
  </si>
  <si>
    <t>Roshan</t>
  </si>
  <si>
    <t>2025.07.13</t>
  </si>
  <si>
    <t>Rivert neel, Grill katu</t>
  </si>
  <si>
    <t>Keerthi hardwear</t>
  </si>
  <si>
    <t>2025.07.14</t>
  </si>
  <si>
    <t>Niluka</t>
  </si>
  <si>
    <t>Construction works (Rs.5,000.00)</t>
  </si>
  <si>
    <t>Tharanaga / Rohana</t>
  </si>
  <si>
    <t>2025.07.15</t>
  </si>
  <si>
    <t>Door bel</t>
  </si>
  <si>
    <t>Sameera Electrical</t>
  </si>
  <si>
    <t>B - belt</t>
  </si>
  <si>
    <t>New Gamage motors</t>
  </si>
  <si>
    <t>Pad lock, Diamand disk, Hinges</t>
  </si>
  <si>
    <t>New P and C hardwear</t>
  </si>
  <si>
    <t>Petrol - chathura</t>
  </si>
  <si>
    <t>Petty cash (60,000.00)</t>
  </si>
  <si>
    <t>2025.07.16</t>
  </si>
  <si>
    <t>Polythen - 2Kg</t>
  </si>
  <si>
    <t>2025.07.17</t>
  </si>
  <si>
    <t>Printout and laminate</t>
  </si>
  <si>
    <t>Master book shop</t>
  </si>
  <si>
    <t>Hewcoil gum</t>
  </si>
  <si>
    <t>Imasha hotel</t>
  </si>
  <si>
    <t>Hire to horana (Moringa)</t>
  </si>
  <si>
    <t>T.A.Sujith / PW-7745</t>
  </si>
  <si>
    <t>BOI gate pass (2person,vehicle)</t>
  </si>
  <si>
    <t>BOI - Horana</t>
  </si>
  <si>
    <t>Lunch - Tharusha</t>
  </si>
  <si>
    <t>Dinner - Tharusha</t>
  </si>
  <si>
    <t>Kushan hotel</t>
  </si>
  <si>
    <t>Construction works</t>
  </si>
  <si>
    <t>Rohana/Tharanga</t>
  </si>
  <si>
    <t>H.S.Nishantha</t>
  </si>
  <si>
    <t>2025.07.18</t>
  </si>
  <si>
    <t>Lakmal</t>
  </si>
  <si>
    <t>Polythen - 4.73Kg</t>
  </si>
  <si>
    <t>Rajapaksha chemicals</t>
  </si>
  <si>
    <t>2025.07.19</t>
  </si>
  <si>
    <t>Nelum Ala</t>
  </si>
  <si>
    <t>Vidura</t>
  </si>
  <si>
    <t>Singha stores</t>
  </si>
  <si>
    <t>Wood transport hire</t>
  </si>
  <si>
    <t>Hire - Wood transport</t>
  </si>
  <si>
    <t>Gayan / 43-0883</t>
  </si>
  <si>
    <t>2025.07.20</t>
  </si>
  <si>
    <t>Photo copy , Laminate</t>
  </si>
  <si>
    <t>Pen</t>
  </si>
  <si>
    <t>Roll plug, washer,nut,drill nut</t>
  </si>
  <si>
    <t>Senevirathna hardwear</t>
  </si>
  <si>
    <t>Suger, biscut</t>
  </si>
  <si>
    <t>Gunadasa</t>
  </si>
  <si>
    <t>2025.07.21</t>
  </si>
  <si>
    <t>Chamara</t>
  </si>
  <si>
    <t>Rice, coconut powder</t>
  </si>
  <si>
    <t>2025.07.22</t>
  </si>
  <si>
    <t>2025.07.23</t>
  </si>
  <si>
    <t>Double tape</t>
  </si>
  <si>
    <t>Saraswathi book shop</t>
  </si>
  <si>
    <t>Soap cup</t>
  </si>
  <si>
    <t>2025.07.24</t>
  </si>
  <si>
    <t>Clear PVC stiker</t>
  </si>
  <si>
    <t>Solid Graphic</t>
  </si>
  <si>
    <t>Envilop</t>
  </si>
  <si>
    <t>Photo copy</t>
  </si>
  <si>
    <t>2025.07.25</t>
  </si>
  <si>
    <t>Printout marker pen</t>
  </si>
  <si>
    <t>Petty cash (56,000) - Auditors cost</t>
  </si>
  <si>
    <t>3 wheel hire - Sooriyawewa / Magnet machine</t>
  </si>
  <si>
    <t>A.K.Idunil (YF-2011)</t>
  </si>
  <si>
    <t>Hotel advance (Auditors)</t>
  </si>
  <si>
    <t>Great Leo</t>
  </si>
  <si>
    <t>3 wheel hire - Padalangala (Polythen,etc..)</t>
  </si>
  <si>
    <t>2025.07.26</t>
  </si>
  <si>
    <t>Filter dusk marks</t>
  </si>
  <si>
    <t>Printout</t>
  </si>
  <si>
    <t>Postal charges - Moringa 2Kg</t>
  </si>
  <si>
    <t>Printout,Laminate,Photocopy</t>
  </si>
  <si>
    <t>Sarasi Offset</t>
  </si>
  <si>
    <t>Milk, streen hopper flour (Auditors)</t>
  </si>
  <si>
    <t>Sun city family</t>
  </si>
  <si>
    <t>Vim, harpic</t>
  </si>
  <si>
    <t>Hair cap, water bottle, mask (Auditors)</t>
  </si>
  <si>
    <t>Madushan pharmacy</t>
  </si>
  <si>
    <t>Litro gas</t>
  </si>
  <si>
    <t>Hettiarachchi stores</t>
  </si>
  <si>
    <t>Tea bags (3000)</t>
  </si>
  <si>
    <t>Ayu Ceylon</t>
  </si>
  <si>
    <t>SS works ( Magnet machine)</t>
  </si>
  <si>
    <t>TM SS Engineer</t>
  </si>
  <si>
    <t>Chicken (Auditors)</t>
  </si>
  <si>
    <t>Chathura</t>
  </si>
  <si>
    <t>2025.07.27</t>
  </si>
  <si>
    <t>Fish / Egg (Auditors)</t>
  </si>
  <si>
    <t>White paint (Male rest room)</t>
  </si>
  <si>
    <t>Samarasinha hardwear</t>
  </si>
  <si>
    <t>Butter cake (Auditors)</t>
  </si>
  <si>
    <t>Wasana bekers</t>
  </si>
  <si>
    <t>Cardboard file</t>
  </si>
  <si>
    <t>Plastic basin</t>
  </si>
  <si>
    <t>Edirisinghe trade center</t>
  </si>
  <si>
    <t>2025.07.28</t>
  </si>
  <si>
    <t>Dinner/Bites (Auditors)</t>
  </si>
  <si>
    <t>Sprite/ Cigrat (Auditors)</t>
  </si>
  <si>
    <t>Rathnayaka grocery</t>
  </si>
  <si>
    <t>Liquor (Auditors)</t>
  </si>
  <si>
    <t>Sakura wine stores</t>
  </si>
  <si>
    <t>Room chrges Balance (Auditors)</t>
  </si>
  <si>
    <t>Rolls (Auditors)</t>
  </si>
  <si>
    <t>Visal tea room</t>
  </si>
  <si>
    <t>Dust pan</t>
  </si>
  <si>
    <t>Plastic bascut</t>
  </si>
  <si>
    <t>Senear traders</t>
  </si>
  <si>
    <t>Banana (Auditors)</t>
  </si>
  <si>
    <t>Rathnayaka Fruit</t>
  </si>
  <si>
    <t>Curd, Paper plate, …</t>
  </si>
  <si>
    <t>Sanjaya Stores</t>
  </si>
  <si>
    <t>2025.07.29</t>
  </si>
  <si>
    <t>Water bottlt, bread (Auditors)</t>
  </si>
  <si>
    <t>H.G.R. Stores</t>
  </si>
  <si>
    <t>Auditors vehicle charges</t>
  </si>
  <si>
    <t>PK- 0476</t>
  </si>
  <si>
    <t>Ice cream, onion</t>
  </si>
  <si>
    <t>Baragama stores</t>
  </si>
  <si>
    <t>2025.07.30</t>
  </si>
  <si>
    <t>Gayan 43-0807</t>
  </si>
  <si>
    <t>Tea - Supun/Rohana</t>
  </si>
  <si>
    <t>Udula hotel</t>
  </si>
  <si>
    <t>Scale repaire</t>
  </si>
  <si>
    <t>Packing materials</t>
  </si>
  <si>
    <t>2025.08.01</t>
  </si>
  <si>
    <t>Fresh Moringa Leaves</t>
  </si>
  <si>
    <t>2025.08.02</t>
  </si>
  <si>
    <t>2025.08.03</t>
  </si>
  <si>
    <t>Suger, matches box</t>
  </si>
  <si>
    <t>2025.08.04</t>
  </si>
  <si>
    <t>Petty cash (60,000)</t>
  </si>
  <si>
    <t>Renuka</t>
  </si>
  <si>
    <t>Hire to horana (Moringa transport)</t>
  </si>
  <si>
    <t>Gayan 43-8201</t>
  </si>
  <si>
    <t>Lunch - supun</t>
  </si>
  <si>
    <t>Sadaru hotel</t>
  </si>
  <si>
    <t>Tea - Supun</t>
  </si>
  <si>
    <t>Nishan home needs</t>
  </si>
  <si>
    <t>Dinner - supun</t>
  </si>
  <si>
    <t>Piyumi hotel</t>
  </si>
  <si>
    <t>BOI - Gate pass(2 person, 1 vehicle)</t>
  </si>
  <si>
    <t>Heenbovitiya 2Kg</t>
  </si>
  <si>
    <t>Jewon lanaka foods</t>
  </si>
  <si>
    <t>2025.08.05</t>
  </si>
  <si>
    <t>2" Gum tape</t>
  </si>
  <si>
    <t>Malsha comminucation</t>
  </si>
  <si>
    <t>Postal charges - Moringa powder 20Kg</t>
  </si>
  <si>
    <t>Post office - sooriyawewa</t>
  </si>
  <si>
    <t>Iron ( For tea bag sealing)</t>
  </si>
  <si>
    <t>Iresh Electronics</t>
  </si>
  <si>
    <t>Rice 10Kg</t>
  </si>
  <si>
    <t>Pubudu stores</t>
  </si>
  <si>
    <t>Ginger,Papper,Garlic</t>
  </si>
  <si>
    <t>Suncity Family super</t>
  </si>
  <si>
    <t>1m cloth</t>
  </si>
  <si>
    <t>Mudiyanse Redi Gedara</t>
  </si>
  <si>
    <t>Chamila</t>
  </si>
  <si>
    <t>3 wheel hire sooriyawewa(Moringa Powder)</t>
  </si>
  <si>
    <t>Harshana</t>
  </si>
  <si>
    <t>2025.08.06</t>
  </si>
  <si>
    <t>2025.08.07</t>
  </si>
  <si>
    <t>Fresh Lunuvila</t>
  </si>
  <si>
    <t>Banana (Seeni)</t>
  </si>
  <si>
    <t>Weerasingha</t>
  </si>
  <si>
    <t>Yakinaran leaves</t>
  </si>
  <si>
    <t>Fresh Katupila</t>
  </si>
  <si>
    <t>2025.08.08</t>
  </si>
  <si>
    <t>Fresh Velpenala</t>
  </si>
  <si>
    <t>Sasidu</t>
  </si>
  <si>
    <t>2025.08.09</t>
  </si>
  <si>
    <t>Master Book shop</t>
  </si>
  <si>
    <t>2025.08.10</t>
  </si>
  <si>
    <t>Aakash</t>
  </si>
  <si>
    <t>2025.08.11</t>
  </si>
  <si>
    <t>Coconut powder, Kadala</t>
  </si>
  <si>
    <t>Raaja super City</t>
  </si>
  <si>
    <t>Fresh Gotukola</t>
  </si>
  <si>
    <t>Gihan</t>
  </si>
  <si>
    <t>Fresh Masbedda</t>
  </si>
  <si>
    <t>2025.08.12</t>
  </si>
  <si>
    <t>Postal charges - Moringa / Banana</t>
  </si>
  <si>
    <t>Suger, Biscuts</t>
  </si>
  <si>
    <t>Tea bag - 2500</t>
  </si>
  <si>
    <t>2025.08.13</t>
  </si>
  <si>
    <t>Nimashi</t>
  </si>
  <si>
    <t>2025.08.14</t>
  </si>
  <si>
    <t>2025.08.15</t>
  </si>
  <si>
    <t>Postal charges - Moringa 2kg</t>
  </si>
  <si>
    <t>Premawardana</t>
  </si>
  <si>
    <t>Vishwa</t>
  </si>
  <si>
    <t>Wenuja</t>
  </si>
  <si>
    <t>Dharshi</t>
  </si>
  <si>
    <t>2025.08.16</t>
  </si>
  <si>
    <t>Tapioca</t>
  </si>
  <si>
    <t>Banana</t>
  </si>
  <si>
    <t>Kiwi knife and storage box</t>
  </si>
  <si>
    <t>Edirisingha Trade cener</t>
  </si>
  <si>
    <t>Ethepon (for fruit ripe)</t>
  </si>
  <si>
    <t>Best Agrotech</t>
  </si>
  <si>
    <t>Diesal</t>
  </si>
  <si>
    <t>Sanjaya Hardwear</t>
  </si>
  <si>
    <t>Polathu bath kade</t>
  </si>
  <si>
    <t>Fresh Anoda leaves</t>
  </si>
  <si>
    <t>2025.08.17</t>
  </si>
  <si>
    <t>2025.08.18</t>
  </si>
  <si>
    <t>Wood Transport hire</t>
  </si>
  <si>
    <t>Mask, surgical gloves, hair cap</t>
  </si>
  <si>
    <t>Lanka pharmacy</t>
  </si>
  <si>
    <t>New P &amp; C hardwear</t>
  </si>
  <si>
    <t>Jinadasa</t>
  </si>
  <si>
    <t>2025.08.19</t>
  </si>
  <si>
    <t>Mikk pack - Buyers</t>
  </si>
  <si>
    <t>Samagimini Grocery</t>
  </si>
  <si>
    <t>Rolls, wada</t>
  </si>
  <si>
    <t>Cuttig board</t>
  </si>
  <si>
    <t>Ruhunu trade center</t>
  </si>
  <si>
    <t>Print out, Laminating</t>
  </si>
  <si>
    <t>Heenappo</t>
  </si>
  <si>
    <t>2025.08.20</t>
  </si>
  <si>
    <t>2025.08.21</t>
  </si>
  <si>
    <t>2025.08.22</t>
  </si>
  <si>
    <t>Siril</t>
  </si>
  <si>
    <t>2025.08.23</t>
  </si>
  <si>
    <t>Bearing</t>
  </si>
  <si>
    <t>New Gamage Motors</t>
  </si>
  <si>
    <t>Venuja</t>
  </si>
  <si>
    <t>2025.08.24</t>
  </si>
  <si>
    <t>Pettty cash (103,000.00)</t>
  </si>
  <si>
    <t>2025.08.25</t>
  </si>
  <si>
    <t>2025.08.26</t>
  </si>
  <si>
    <t>2025.08.27</t>
  </si>
  <si>
    <t>Petty cash (80,000.00)</t>
  </si>
  <si>
    <t>Biscut, Suger, Vim</t>
  </si>
  <si>
    <t>Postal charges - 10Kg Banana coin</t>
  </si>
  <si>
    <t>Idunil</t>
  </si>
  <si>
    <t>2025.08.28</t>
  </si>
  <si>
    <t>Petty cash (33,000.00)</t>
  </si>
  <si>
    <t>2025.08.29</t>
  </si>
  <si>
    <t>Bus charges for blower transport</t>
  </si>
  <si>
    <t>NC-3331</t>
  </si>
  <si>
    <t>Note book</t>
  </si>
  <si>
    <t>2025.08.30</t>
  </si>
  <si>
    <t>2025.08.31</t>
  </si>
  <si>
    <t>Vihaga</t>
  </si>
  <si>
    <t>2025.09.01</t>
  </si>
  <si>
    <t>2025.09.03</t>
  </si>
  <si>
    <t>Print out</t>
  </si>
  <si>
    <t>Master Book Shop</t>
  </si>
  <si>
    <t>2025.09.04</t>
  </si>
  <si>
    <t>Tea powder</t>
  </si>
  <si>
    <t>2025.09.05</t>
  </si>
  <si>
    <t>Nilmini</t>
  </si>
  <si>
    <t>2025.09.06</t>
  </si>
  <si>
    <t>Suger, Biscuts, Soap, Pen</t>
  </si>
  <si>
    <t>2025.09.07</t>
  </si>
  <si>
    <t>Anil</t>
  </si>
  <si>
    <t>2025.09.08</t>
  </si>
  <si>
    <t>Cardboard box 5</t>
  </si>
  <si>
    <t>Sameera Super</t>
  </si>
  <si>
    <t>2025.09.09</t>
  </si>
  <si>
    <t>Postal charges - HDDES</t>
  </si>
  <si>
    <t>Post office - Sooriyawewa</t>
  </si>
  <si>
    <t>Postal charges - Ceylon Plant Food</t>
  </si>
  <si>
    <t>TDR Fruit</t>
  </si>
  <si>
    <t>Kohila ala</t>
  </si>
  <si>
    <t>2025.09.10</t>
  </si>
  <si>
    <t>Thilakarathna</t>
  </si>
  <si>
    <t>2025.09.11</t>
  </si>
  <si>
    <t>Bus charges for 10kg moringa to colonbo</t>
  </si>
  <si>
    <t>ND - 3393</t>
  </si>
  <si>
    <t>Polythene 4.4Kg</t>
  </si>
  <si>
    <t>Rajapaksha chemical</t>
  </si>
  <si>
    <t>Petty cash (16,000.00)</t>
  </si>
  <si>
    <t>2025.09.12</t>
  </si>
  <si>
    <t>Postal charges Moringa/Banana</t>
  </si>
  <si>
    <t>Curry leaves transport hire to kuruvita</t>
  </si>
  <si>
    <t>Gayan 43-8023</t>
  </si>
  <si>
    <t>2025.09.13</t>
  </si>
  <si>
    <t>Petty cash (120,000.00)</t>
  </si>
  <si>
    <t>Tea bag tag printing</t>
  </si>
  <si>
    <t>Ginger, Garlic, Papper</t>
  </si>
  <si>
    <t>Scissor, paper cutter</t>
  </si>
  <si>
    <t>Rice 50kg</t>
  </si>
  <si>
    <t>P.K. Rice mill</t>
  </si>
  <si>
    <t>Arosh</t>
  </si>
  <si>
    <t>2025.09.14</t>
  </si>
  <si>
    <t>4" polythene 1.5Kg</t>
  </si>
  <si>
    <t>Sivali book shop</t>
  </si>
  <si>
    <t>Heenbovitiya powder</t>
  </si>
  <si>
    <t>Jewon lanka foods</t>
  </si>
  <si>
    <t>Fresh Yakinaran Leaves</t>
  </si>
  <si>
    <t>2025.09.15</t>
  </si>
  <si>
    <t>Photo copy -GRN</t>
  </si>
  <si>
    <t>Sugath chemicals</t>
  </si>
  <si>
    <t>Tea bun for night shift</t>
  </si>
  <si>
    <t>Fresh curry leaves</t>
  </si>
  <si>
    <t>Rough paper</t>
  </si>
  <si>
    <t>2025.09.16</t>
  </si>
  <si>
    <t>3wheel hire to sooriyawewa - Moringa 15kg</t>
  </si>
  <si>
    <t>Polythene 2.5kg</t>
  </si>
  <si>
    <t>Rathnayaka book shop</t>
  </si>
  <si>
    <t>High way bus charges - moringa 15kg</t>
  </si>
  <si>
    <t>2025.09.17</t>
  </si>
  <si>
    <t>3wheel hire to Embilipitiya ( Exhibition items)</t>
  </si>
  <si>
    <t>Idunil YF-2011</t>
  </si>
  <si>
    <t>High way bus charges -Exhibition items</t>
  </si>
  <si>
    <t>ND - 1187</t>
  </si>
  <si>
    <t>Grinding machine nets</t>
  </si>
  <si>
    <t>Chandima trade center</t>
  </si>
  <si>
    <t>SS nut for grinding machine</t>
  </si>
  <si>
    <t>Piyumi moters</t>
  </si>
  <si>
    <t>2025.09.20</t>
  </si>
  <si>
    <t>Petty cash (75,000.00)</t>
  </si>
  <si>
    <t>Hair cap</t>
  </si>
  <si>
    <t>2025.09.21</t>
  </si>
  <si>
    <t>Gunathilaaka</t>
  </si>
  <si>
    <t>2025.09.22</t>
  </si>
  <si>
    <t>2025.09.23</t>
  </si>
  <si>
    <t>Polythene</t>
  </si>
  <si>
    <t>Biscut, suger, matchbox</t>
  </si>
  <si>
    <t>2025.09.24</t>
  </si>
  <si>
    <t>Charger for scale</t>
  </si>
  <si>
    <t>Iresh Electronic</t>
  </si>
  <si>
    <t>Sewwandi tea room</t>
  </si>
  <si>
    <t>2025.09.25</t>
  </si>
  <si>
    <t>Petty cash (111,000.00)</t>
  </si>
  <si>
    <t>Breakfast - chaminda/supun</t>
  </si>
  <si>
    <t>Vidula tea room</t>
  </si>
  <si>
    <t>Lunch - chaminda/ supun</t>
  </si>
  <si>
    <t>Kirala kele</t>
  </si>
  <si>
    <t>Petrol - chaminda</t>
  </si>
  <si>
    <t>Genarator room repaire</t>
  </si>
  <si>
    <t>Samantha</t>
  </si>
  <si>
    <t>Wiring items for washing machine</t>
  </si>
  <si>
    <t>Ediriweera Electricals</t>
  </si>
  <si>
    <t>2025.09.26</t>
  </si>
  <si>
    <t>Polythene 5Kg</t>
  </si>
  <si>
    <t>Surgical mask 100</t>
  </si>
  <si>
    <t>Madushan Pharmacy</t>
  </si>
  <si>
    <t>Gayan 43-8301</t>
  </si>
  <si>
    <t>Saho Kitchen</t>
  </si>
  <si>
    <t>3 wheel hire to padalangala - Moter</t>
  </si>
  <si>
    <t>Kumara QF-2071</t>
  </si>
  <si>
    <t>2025.09.27</t>
  </si>
  <si>
    <t>Hand gloves</t>
  </si>
  <si>
    <t>Cloths / Cut piece</t>
  </si>
  <si>
    <t>Mudiyanse redi gedara</t>
  </si>
  <si>
    <t>13A fuse</t>
  </si>
  <si>
    <t>Sameera Electricals</t>
  </si>
  <si>
    <t>2025.09.28</t>
  </si>
  <si>
    <t>Suger,tea powder</t>
  </si>
  <si>
    <t>2025.09.29</t>
  </si>
  <si>
    <t>Polythene 5kg</t>
  </si>
  <si>
    <t>Glue bottle</t>
  </si>
  <si>
    <t>Darshi</t>
  </si>
  <si>
    <t>2025.09.30</t>
  </si>
  <si>
    <t>Teflon tape ( for sealer machine)</t>
  </si>
  <si>
    <t>Tishu paper</t>
  </si>
  <si>
    <t>Vijerani shop</t>
  </si>
  <si>
    <t>Pora kawara &amp; spray bottle</t>
  </si>
  <si>
    <t>Lorry hire to Dankotuwa (Moringa powder)</t>
  </si>
  <si>
    <t>Petty cash (45,000.00)</t>
  </si>
  <si>
    <t>Raajaba family restuarent</t>
  </si>
  <si>
    <t>2025.10.01</t>
  </si>
  <si>
    <t>Postal charges - Prabath Fernando</t>
  </si>
  <si>
    <t>Postal charges - Dinuka Abeydeera</t>
  </si>
  <si>
    <t>Fresh Moringa leaves</t>
  </si>
  <si>
    <t>2025.10.02</t>
  </si>
  <si>
    <t>Petty cash ( 60,000.00)</t>
  </si>
  <si>
    <t>2025.10.03</t>
  </si>
  <si>
    <t>Fresh Curry leaves</t>
  </si>
  <si>
    <t>2025.10.04</t>
  </si>
  <si>
    <t>Pradeep timber mill</t>
  </si>
  <si>
    <t>Tea - supun/tharusha</t>
  </si>
  <si>
    <t>Garbage bags</t>
  </si>
  <si>
    <t>2025.10.08</t>
  </si>
  <si>
    <t>2025.10.09</t>
  </si>
  <si>
    <t>Petty cash ( 100,000.00)</t>
  </si>
  <si>
    <t>3wheel hire to embilipitiya</t>
  </si>
  <si>
    <t>Supun - YG 1547</t>
  </si>
  <si>
    <t>Currier chrges- curry leaves/HDDES</t>
  </si>
  <si>
    <t>Grinding machine net/neel</t>
  </si>
  <si>
    <t>Plug top, LED light</t>
  </si>
  <si>
    <t>Bogahawaththa electricals</t>
  </si>
  <si>
    <t>Tea leaves</t>
  </si>
  <si>
    <t>Suncity family mart</t>
  </si>
  <si>
    <t>2025.10.10</t>
  </si>
  <si>
    <t>Bus fees ( Sooriyawewa - Embilipitiya)</t>
  </si>
  <si>
    <t>Bus fees ( Embilipitiya - Hanwella )</t>
  </si>
  <si>
    <t>Breakfast - Chaminda</t>
  </si>
  <si>
    <t>Lunch - Chaminda</t>
  </si>
  <si>
    <t>3Wheel hire ( Hanwella - Haduruwellaawa ) *2</t>
  </si>
  <si>
    <t>900*2</t>
  </si>
  <si>
    <t>Bus fees ( Hanwella - Embilipitiya )</t>
  </si>
  <si>
    <t>Highway bus charges ( moringa powder)</t>
  </si>
  <si>
    <t>3wheel hire to embilipitiya (moringa powder)</t>
  </si>
  <si>
    <t>Inkcap</t>
  </si>
  <si>
    <t>Petrol - Chathura</t>
  </si>
  <si>
    <t>2025.10.11</t>
  </si>
  <si>
    <t>Bus fees ( Embilipitiya - Sooriyawewa )</t>
  </si>
  <si>
    <t>CR - book</t>
  </si>
  <si>
    <t>Thundor book shop</t>
  </si>
  <si>
    <t>2025.10.12</t>
  </si>
  <si>
    <t>Men's rest room water leakage repairing</t>
  </si>
  <si>
    <t>2025.10.13</t>
  </si>
  <si>
    <t>Shamali</t>
  </si>
  <si>
    <t>K. Priyantha</t>
  </si>
  <si>
    <t>Postal charges - 5kg moringa</t>
  </si>
  <si>
    <t>Casing, flexible hose, neel</t>
  </si>
  <si>
    <t>Senevirathna hardware</t>
  </si>
  <si>
    <t>New singha timber mill</t>
  </si>
  <si>
    <t>Diesal - Landmaster</t>
  </si>
  <si>
    <t>Fresh moringa leaves</t>
  </si>
  <si>
    <t>K.D.Viraj</t>
  </si>
  <si>
    <t>2025.10.14</t>
  </si>
  <si>
    <t>Madushika</t>
  </si>
  <si>
    <t>Polythene 5.5kg</t>
  </si>
  <si>
    <t>2025.10.15</t>
  </si>
  <si>
    <t>Bus charges for moringa transport - 10kg</t>
  </si>
  <si>
    <t>NC - 0258</t>
  </si>
  <si>
    <t>Diesel - Landmaster</t>
  </si>
  <si>
    <t>DHY dialog router bill</t>
  </si>
  <si>
    <t>Dialog</t>
  </si>
  <si>
    <t>2025.10.16</t>
  </si>
  <si>
    <t>2025.10.17</t>
  </si>
  <si>
    <t>Fipronil - Anti insect</t>
  </si>
  <si>
    <t>Irosha timber mill</t>
  </si>
  <si>
    <t>Sadiru</t>
  </si>
  <si>
    <t>Dammika</t>
  </si>
  <si>
    <t>2025.10.18</t>
  </si>
  <si>
    <t>G. Niluka</t>
  </si>
  <si>
    <t>Prageeth</t>
  </si>
  <si>
    <t>2025.10.19</t>
  </si>
  <si>
    <t>Sanjaya harswear</t>
  </si>
  <si>
    <t>D. Renuka</t>
  </si>
  <si>
    <t>Pabasara</t>
  </si>
  <si>
    <t>2025.10.20</t>
  </si>
  <si>
    <t>Ctting wheel</t>
  </si>
  <si>
    <t>New P &amp; G hardware</t>
  </si>
  <si>
    <t>2025.10.21</t>
  </si>
  <si>
    <t>Petty cash (150,000.00)</t>
  </si>
  <si>
    <t>2025.10.22</t>
  </si>
  <si>
    <t>Postal charges - HDDES sample</t>
  </si>
  <si>
    <t>Gayan 43-8703</t>
  </si>
  <si>
    <t>Biscut, vim</t>
  </si>
  <si>
    <t>2025.10.23</t>
  </si>
  <si>
    <t>Fresh banana ( Seeni)</t>
  </si>
  <si>
    <t>2025.10.25</t>
  </si>
  <si>
    <t>Postal charges - Banana powder 10Kg</t>
  </si>
  <si>
    <t>2025.10.27</t>
  </si>
  <si>
    <t>Petty cash ( 49,500.00 )</t>
  </si>
  <si>
    <t>Supun salary arrears</t>
  </si>
  <si>
    <t>2025.10.29</t>
  </si>
  <si>
    <t>Polythene - 5.8kg</t>
  </si>
  <si>
    <t>Rukshan</t>
  </si>
  <si>
    <t>W.A.Nayana</t>
  </si>
  <si>
    <t>A. Shantha</t>
  </si>
  <si>
    <t>2025.10.30</t>
  </si>
  <si>
    <t>Suranaga</t>
  </si>
  <si>
    <t>2025.10.31</t>
  </si>
  <si>
    <t>Sujith</t>
  </si>
  <si>
    <t>2025.11.01</t>
  </si>
  <si>
    <t>Petty cash ( 200,000.00 )</t>
  </si>
  <si>
    <t>New Singhe timber mill</t>
  </si>
  <si>
    <t>Gayan</t>
  </si>
  <si>
    <t>2025.11.02</t>
  </si>
  <si>
    <t>Kavisha</t>
  </si>
  <si>
    <t>2025.11.03</t>
  </si>
  <si>
    <t>Biscut, suger, tea powder</t>
  </si>
  <si>
    <t>Polythen 5kg</t>
  </si>
  <si>
    <t>Jayanthika</t>
  </si>
  <si>
    <t>2025.11.04</t>
  </si>
  <si>
    <t>Bus charges ( curry leaves - Paanadura )</t>
  </si>
  <si>
    <t>3Wheel charges ( Curry leaves - Sooriyawewa )</t>
  </si>
  <si>
    <t>Petty cash ( 96,500.00 )</t>
  </si>
  <si>
    <t>2025.11.06</t>
  </si>
  <si>
    <t>Petty cash ( 103,400.00 )</t>
  </si>
  <si>
    <t>2025.11.07</t>
  </si>
  <si>
    <t>Lorry hire - wood transport</t>
  </si>
  <si>
    <t>M. Supun / LI-4481</t>
  </si>
  <si>
    <t>Banana - seeni</t>
  </si>
  <si>
    <t>Soori - market</t>
  </si>
  <si>
    <t>3wheel charges for banana from sooriyawewa</t>
  </si>
  <si>
    <t>Kumudu</t>
  </si>
  <si>
    <t>K.K. Chaminda</t>
  </si>
  <si>
    <t>2025.11.08</t>
  </si>
  <si>
    <t>G. Oshada</t>
  </si>
  <si>
    <t>Sadaruwan</t>
  </si>
  <si>
    <t>2025.11.09</t>
  </si>
  <si>
    <t>Beating for dehydration machine</t>
  </si>
  <si>
    <t>Kavinda</t>
  </si>
  <si>
    <t>G. Wasantha</t>
  </si>
  <si>
    <t>Polythen 1.6Kg</t>
  </si>
  <si>
    <t>Best Agritech</t>
  </si>
  <si>
    <t>2025.11.10</t>
  </si>
  <si>
    <t>2025.11.11</t>
  </si>
  <si>
    <t>Postal charges - Sen Globle</t>
  </si>
  <si>
    <t xml:space="preserve"> </t>
  </si>
  <si>
    <t>Postal charges - Prabath</t>
  </si>
  <si>
    <t>Randiv</t>
  </si>
  <si>
    <t>2025.11.12</t>
  </si>
  <si>
    <t>2" tape roll</t>
  </si>
  <si>
    <t>Greeze</t>
  </si>
  <si>
    <t>Postal Charges - Moringa sample/ CP Agry</t>
  </si>
  <si>
    <t>Petty cash ( Rs. 150,000.00 )</t>
  </si>
  <si>
    <t>2025.11.14</t>
  </si>
  <si>
    <t>Polythene bags 15Kg + transport</t>
  </si>
  <si>
    <t>Deens stores</t>
  </si>
  <si>
    <t>2025.11.15</t>
  </si>
  <si>
    <t>Petty cash from Premasiri for Boom truck</t>
  </si>
  <si>
    <t>High way charges for lorry- Kaduwela</t>
  </si>
  <si>
    <t>Southern high way</t>
  </si>
  <si>
    <t>Lunch - Chaminda/Dileepa/Supun</t>
  </si>
  <si>
    <t>Caters Restaurant</t>
  </si>
  <si>
    <t>Boom truck charges - Balance</t>
  </si>
  <si>
    <t>Boom - Hanvalla</t>
  </si>
  <si>
    <t>Dinner - Chaminda/Dileepa/Supun</t>
  </si>
  <si>
    <t>Big Bite</t>
  </si>
  <si>
    <t>High way charges for lorry- Sooriyawewa</t>
  </si>
  <si>
    <t>2025.11.16</t>
  </si>
  <si>
    <t>Boom truck charges - Sooriyawewa</t>
  </si>
  <si>
    <t>Anura concrete works</t>
  </si>
  <si>
    <t>LI - 44814</t>
  </si>
  <si>
    <t>Polythene 2.2Kg</t>
  </si>
  <si>
    <t>Basnayaka chemicals</t>
  </si>
  <si>
    <t>2025.11.17</t>
  </si>
  <si>
    <t>Fresh Iramusu</t>
  </si>
  <si>
    <t>Maleesha</t>
  </si>
  <si>
    <t>2025.11.18</t>
  </si>
  <si>
    <t>Mask ( 100 pcs )</t>
  </si>
  <si>
    <t>Harpic ( 2 bottle )</t>
  </si>
  <si>
    <t>2025.11.19</t>
  </si>
  <si>
    <t>Postal charges - Nesli</t>
  </si>
  <si>
    <t>Marker pen</t>
  </si>
  <si>
    <t>2025.11.20</t>
  </si>
  <si>
    <t>Catdboard box</t>
  </si>
  <si>
    <t>Postal charges - Tea cut 2.5Kg</t>
  </si>
  <si>
    <t>Postal charges - Powder 20Kg</t>
  </si>
  <si>
    <t>3wheel hire to sooriyawewa</t>
  </si>
  <si>
    <t>Vihaga YG-8570</t>
  </si>
  <si>
    <t>2025.11.21</t>
  </si>
  <si>
    <t>Fresh papaya</t>
  </si>
  <si>
    <t>Garlic, Ginger</t>
  </si>
  <si>
    <t>Fresh velpenela</t>
  </si>
  <si>
    <t>2025.11.22</t>
  </si>
  <si>
    <t>2 Hand gloves - Large</t>
  </si>
  <si>
    <t>Egodage hardware</t>
  </si>
  <si>
    <t>4 Hand gloves - Normal</t>
  </si>
  <si>
    <t>Priyankara hardware</t>
  </si>
  <si>
    <t>Chamal thuru sewana</t>
  </si>
  <si>
    <t>Pepper 150g</t>
  </si>
  <si>
    <t>2025.11.23</t>
  </si>
  <si>
    <t>Mesurment cylinder 250ml</t>
  </si>
  <si>
    <t>Seevali book shop</t>
  </si>
  <si>
    <t>2025.11.24</t>
  </si>
  <si>
    <t>2025.11.26</t>
  </si>
  <si>
    <t>Petty cash ( 100,000.00 )</t>
  </si>
  <si>
    <t>chamila</t>
  </si>
  <si>
    <t>Pohora kawara - 5</t>
  </si>
  <si>
    <t>Pepper - 500g</t>
  </si>
  <si>
    <t>New samagimini</t>
  </si>
  <si>
    <t>Beet root, Garlic, Pepper</t>
  </si>
  <si>
    <t>2025.11.27</t>
  </si>
  <si>
    <t>Highway bus charges - Moringa 10Kg</t>
  </si>
  <si>
    <t>NE - 0169</t>
  </si>
  <si>
    <t>3Wheel charges to Embilipitiya - Moeinga 10Kg</t>
  </si>
  <si>
    <t>Pinapple 10Kg</t>
  </si>
  <si>
    <t>Ginger, Garlic</t>
  </si>
  <si>
    <t>2025.11.28</t>
  </si>
  <si>
    <t>Biscut, suger,</t>
  </si>
  <si>
    <t>2025.11.29</t>
  </si>
  <si>
    <t>Fresh Yakinaran leaves</t>
  </si>
  <si>
    <t>Printout, sticker(tea bag tag)</t>
  </si>
  <si>
    <t>Fresh Neem leaves</t>
  </si>
  <si>
    <t>2025.11.30</t>
  </si>
  <si>
    <t>2025.12.01</t>
  </si>
  <si>
    <t>2025.12.02</t>
  </si>
  <si>
    <t>Dehydrated Heenbovitiya 2kg</t>
  </si>
  <si>
    <t>2025.12.05</t>
  </si>
  <si>
    <t>3wheel hire to embilipitiya ( moringa 32Kg)</t>
  </si>
  <si>
    <t>Supun YG-1547</t>
  </si>
  <si>
    <t>Highway bus charges to colombo ( moringa)</t>
  </si>
  <si>
    <t>ND-1187</t>
  </si>
  <si>
    <t>Bus charges - pelmadulla to colombo</t>
  </si>
  <si>
    <t>NB-3748</t>
  </si>
  <si>
    <t>3wheel hire - Maharagama to head office</t>
  </si>
  <si>
    <t>AAC-2565</t>
  </si>
  <si>
    <t>Motor byk charges - Head office to colombo</t>
  </si>
  <si>
    <t>BAD-3247</t>
  </si>
  <si>
    <t>Bus charges - Colombo to Kahawathhta</t>
  </si>
  <si>
    <t>NC-2881</t>
  </si>
  <si>
    <t>2025.12.06</t>
  </si>
  <si>
    <t>Petrol - Jayantha</t>
  </si>
  <si>
    <t>2025.12.07</t>
  </si>
  <si>
    <t>CR book - 4</t>
  </si>
  <si>
    <t>Soursop fruit</t>
  </si>
  <si>
    <t>2025.12.08</t>
  </si>
  <si>
    <t>H.P. Seetha</t>
  </si>
  <si>
    <t>2025.12.09</t>
  </si>
  <si>
    <t>3Wheel charges for embilipitiya</t>
  </si>
  <si>
    <t>Highway bus charges to colombo (Gotukala/so)</t>
  </si>
  <si>
    <t>ND-8704</t>
  </si>
  <si>
    <t>Fresh Jackfruit</t>
  </si>
  <si>
    <t>2025.12.11</t>
  </si>
  <si>
    <t>2025.12.12</t>
  </si>
  <si>
    <t>soursop leaves</t>
  </si>
  <si>
    <t>Seetha</t>
  </si>
  <si>
    <t>2025.12.13</t>
  </si>
  <si>
    <t>2025.12.14</t>
  </si>
  <si>
    <t>Wood (3080Kg* Rs.7)</t>
  </si>
  <si>
    <t>I. Kelum</t>
  </si>
  <si>
    <t>2025.12.15</t>
  </si>
  <si>
    <t>Weerasungha</t>
  </si>
  <si>
    <t>Coconut oil 1/4</t>
  </si>
  <si>
    <t>2025.12.16</t>
  </si>
  <si>
    <t>Petty cash (Rs.100,000.00)</t>
  </si>
  <si>
    <t>Pohara kawara 10</t>
  </si>
  <si>
    <t>Mahinda stores</t>
  </si>
  <si>
    <t>2025.12.17</t>
  </si>
  <si>
    <t>Bus charges to walasmulla ( moringa 20Kg)</t>
  </si>
  <si>
    <t>3wheel charges for Sooriyawewa (moringa)</t>
  </si>
  <si>
    <t>New Singha timber mill</t>
  </si>
  <si>
    <t>2025.12.18</t>
  </si>
  <si>
    <t>Postel charges - Prabath</t>
  </si>
  <si>
    <t>Postel charges - Emb/sample</t>
  </si>
  <si>
    <t>Soap, Vim</t>
  </si>
  <si>
    <t>Broom, soap cup</t>
  </si>
  <si>
    <t>3wheel charges for Sooriyawewa (mori/bana)</t>
  </si>
  <si>
    <t>2025.12.20</t>
  </si>
  <si>
    <t>Ginger, Garlic, Pepper</t>
  </si>
  <si>
    <t>Cinnamon leaves</t>
  </si>
  <si>
    <t>2025.12.22</t>
  </si>
  <si>
    <t>Glass bottle ( for water sample)</t>
  </si>
  <si>
    <t>Black polythene</t>
  </si>
  <si>
    <t>Sameera super</t>
  </si>
  <si>
    <t>Pohora kawara</t>
  </si>
  <si>
    <t>Petrol</t>
  </si>
  <si>
    <t>2025.12.23</t>
  </si>
  <si>
    <t>Highway bus charges ( moringa / porridge)</t>
  </si>
  <si>
    <t>NB-7288</t>
  </si>
  <si>
    <t>3Wheeler charges to embilipitiya</t>
  </si>
  <si>
    <t>Lady's finger</t>
  </si>
  <si>
    <t>Mugunawenna</t>
  </si>
  <si>
    <t>Lunuvila</t>
  </si>
  <si>
    <t>2025.12.24</t>
  </si>
  <si>
    <t>Pen, cardbord file</t>
  </si>
  <si>
    <t>Pitawakka</t>
  </si>
  <si>
    <t>Dried heenbovitiya 2kg</t>
  </si>
  <si>
    <t>Biscut, suger</t>
  </si>
  <si>
    <t>2025.12.28</t>
  </si>
  <si>
    <t>Box file, warnish papper</t>
  </si>
  <si>
    <t>2025.12.30</t>
  </si>
  <si>
    <t>Dialog router bill</t>
  </si>
  <si>
    <t>Dash mobile</t>
  </si>
  <si>
    <t>2025.12.31</t>
  </si>
  <si>
    <t>Box file</t>
  </si>
  <si>
    <t>2026.01.01</t>
  </si>
  <si>
    <t>Polythene 3Kg</t>
  </si>
  <si>
    <t>Knife, sponge</t>
  </si>
  <si>
    <t>2026.01.02</t>
  </si>
  <si>
    <t>Jaanaka</t>
  </si>
  <si>
    <t>Tea - supun/Rohana</t>
  </si>
  <si>
    <t>2026.01.04</t>
  </si>
  <si>
    <t>Kiwi knife ( 15 nos )</t>
  </si>
  <si>
    <t>Tread bar and nuts</t>
  </si>
  <si>
    <t>Labour charge for knife set ( for soursop )</t>
  </si>
  <si>
    <t>TM SS Engineers</t>
  </si>
  <si>
    <t>Petro - chaminda</t>
  </si>
  <si>
    <t>2026.01.06</t>
  </si>
  <si>
    <t>2026.01.07</t>
  </si>
  <si>
    <t>Petty cash ( Rs. 50,000.00)</t>
  </si>
  <si>
    <t>Biscuts, suger, soap</t>
  </si>
  <si>
    <t>Currier bag - 4</t>
  </si>
  <si>
    <t>Printing and laminating</t>
  </si>
  <si>
    <t>2026.01.08</t>
  </si>
  <si>
    <t>Permanent marker - 2</t>
  </si>
  <si>
    <t>Double tapr - 3</t>
  </si>
  <si>
    <t>Box file - 4</t>
  </si>
  <si>
    <t>Currier charges - HDDES</t>
  </si>
  <si>
    <t>PromptXP</t>
  </si>
  <si>
    <t>3wheeler charges to embilipitiya</t>
  </si>
  <si>
    <t>Highway bus charges to colombo</t>
  </si>
  <si>
    <t>Tea - Tharusha/Rohana</t>
  </si>
  <si>
    <t>Thunder book shop</t>
  </si>
  <si>
    <t>2026.01.10</t>
  </si>
  <si>
    <t>Highway bus charges to Maakubura</t>
  </si>
  <si>
    <t>NH-1499</t>
  </si>
  <si>
    <t>202.01.12</t>
  </si>
  <si>
    <t>Pohora kawara - 15</t>
  </si>
  <si>
    <t>Sawmini buffet</t>
  </si>
  <si>
    <t>2026.01.13</t>
  </si>
  <si>
    <t>Petty cash ( Rs. 75,000.00)</t>
  </si>
  <si>
    <t>Postal charges - Prabath 10Kg</t>
  </si>
  <si>
    <t>Post office sooriyawewa</t>
  </si>
  <si>
    <t>Pohora kawara - 10</t>
  </si>
  <si>
    <t>2026.01.14</t>
  </si>
  <si>
    <t>Biscuts</t>
  </si>
  <si>
    <t>2026.01.17</t>
  </si>
  <si>
    <t>Jackfruit</t>
  </si>
  <si>
    <t>Dilan</t>
  </si>
  <si>
    <t>Fruit and vegitables</t>
  </si>
  <si>
    <t>Sooriyawewa market</t>
  </si>
  <si>
    <t>3wheeler charges to sooriyawewa</t>
  </si>
  <si>
    <t>2026.01.18</t>
  </si>
  <si>
    <t>Surgical gloves</t>
  </si>
  <si>
    <t>Rubber gloves</t>
  </si>
  <si>
    <t>Cut piece</t>
  </si>
  <si>
    <t>Coconut oil</t>
  </si>
  <si>
    <t>2026.01.20</t>
  </si>
  <si>
    <t>Petty cash ( Rs. 100,000.00)</t>
  </si>
  <si>
    <t>Mango - TJC</t>
  </si>
  <si>
    <t>Onion</t>
  </si>
  <si>
    <t>Ginger - chinese</t>
  </si>
  <si>
    <t>Carrot</t>
  </si>
  <si>
    <t>Biscut, suger, tea</t>
  </si>
  <si>
    <t>2026.01.21</t>
  </si>
  <si>
    <t>Ginger - Sri lankan</t>
  </si>
  <si>
    <t>Guava</t>
  </si>
  <si>
    <t>2026.01.22</t>
  </si>
  <si>
    <t>Highway bus charges - Dubai sample</t>
  </si>
  <si>
    <t>Petro - Supun</t>
  </si>
  <si>
    <t>Banana - Abul</t>
  </si>
  <si>
    <t>Rathnayaka fruits</t>
  </si>
  <si>
    <t>2026.01.23</t>
  </si>
  <si>
    <t>2026.01.24</t>
  </si>
  <si>
    <t>Coconut oil, wax matches</t>
  </si>
  <si>
    <t>Petty cash ( Rs.50,000.00 )</t>
  </si>
  <si>
    <t>2026.01.25</t>
  </si>
  <si>
    <t>2026.01.26</t>
  </si>
  <si>
    <t>Banana -seeni</t>
  </si>
  <si>
    <t>2026.01.27</t>
  </si>
  <si>
    <t>Highway bus charges - Moringa/Gotukola</t>
  </si>
  <si>
    <t>Marker pen, Note book</t>
  </si>
  <si>
    <t>Polythene, Pohora kawara</t>
  </si>
  <si>
    <t>A30 belt for blower machine</t>
  </si>
  <si>
    <t>Gamage motors</t>
  </si>
  <si>
    <t>2026.01.28</t>
  </si>
  <si>
    <t>2026.01.29</t>
  </si>
  <si>
    <t>6V/2A Charger for scale</t>
  </si>
  <si>
    <t>Sameera electricals</t>
  </si>
  <si>
    <t>Seal pad ink</t>
  </si>
  <si>
    <t>2026.01.31</t>
  </si>
  <si>
    <t>Suger, Biscuts, tea powder</t>
  </si>
  <si>
    <t>Part payment of balance - Jackfruit</t>
  </si>
  <si>
    <t>2026.02.01</t>
  </si>
  <si>
    <t>2026.02.02</t>
  </si>
  <si>
    <t>Postal charges - Gotukola 5kg</t>
  </si>
  <si>
    <t>Postal charges - Pitawakka 1kg</t>
  </si>
  <si>
    <t>Petriol - Supun</t>
  </si>
  <si>
    <t>2026.02.03</t>
  </si>
  <si>
    <t>Last payment of Jackfruit</t>
  </si>
  <si>
    <t>Petriol - Supun( Padalangala / Citric acid)</t>
  </si>
  <si>
    <t>2026.02.04</t>
  </si>
  <si>
    <t>Petty cash (Rs. 150,000.00)</t>
  </si>
  <si>
    <t>2026.02.05</t>
  </si>
  <si>
    <t>Lorry hire to Dankotuwa - Moringa powder 800kg</t>
  </si>
  <si>
    <t>Gayan / 43-8201</t>
  </si>
  <si>
    <t>Polythene 3.7kg</t>
  </si>
  <si>
    <t>Lunch - Supun</t>
  </si>
  <si>
    <t>Ruwan hotel</t>
  </si>
  <si>
    <t>Nethuli food</t>
  </si>
  <si>
    <t>2026.02.06</t>
  </si>
  <si>
    <t>Three wheeler charges to Sooriyawewa</t>
  </si>
  <si>
    <t>Idunil - YF-2011</t>
  </si>
  <si>
    <t>Highway bus charges ( moringa 10kg )</t>
  </si>
  <si>
    <t>NE-2113</t>
  </si>
  <si>
    <t>Shantha hotel</t>
  </si>
  <si>
    <t>Lorry hire to Sooriyawewa - Wood transport</t>
  </si>
  <si>
    <t>Griding machine net - 2</t>
  </si>
  <si>
    <t>Petrol - Supun ( Embilipitiya )</t>
  </si>
  <si>
    <t>2026.02.07</t>
  </si>
  <si>
    <t>2026.02.08</t>
  </si>
  <si>
    <t>2026.02.09</t>
  </si>
  <si>
    <t>2026.02.10</t>
  </si>
  <si>
    <t>Petty cash (Rs. 50,000.00)</t>
  </si>
  <si>
    <t>Polythene 5.66kg</t>
  </si>
  <si>
    <t>2026.02.11</t>
  </si>
  <si>
    <t>Mango and papaya for samples</t>
  </si>
  <si>
    <t>Lasith palathuru</t>
  </si>
  <si>
    <t>Pastic bottle</t>
  </si>
  <si>
    <t>Petrol - Pasidu ( Padalangala )</t>
  </si>
  <si>
    <t>2026.02.12</t>
  </si>
  <si>
    <t>Tea - Pasidu/Rohana</t>
  </si>
  <si>
    <t>Amila stores</t>
  </si>
  <si>
    <t>Petty cash (Rs. 100,000.00)</t>
  </si>
  <si>
    <t>Lorry hire to Dankotuwa - Moringa powder 250kg</t>
  </si>
  <si>
    <t>Sanka food mart</t>
  </si>
  <si>
    <t>Dinner - Supun</t>
  </si>
  <si>
    <t>Ape kade</t>
  </si>
  <si>
    <t>2026.02.13</t>
  </si>
  <si>
    <t>Guava, Pineappe</t>
  </si>
  <si>
    <t>Sudath Palathuru</t>
  </si>
  <si>
    <t>Battary 2</t>
  </si>
  <si>
    <t>Elle stores</t>
  </si>
  <si>
    <t>2026.02.14</t>
  </si>
  <si>
    <t>Scaler battery replacement</t>
  </si>
  <si>
    <t>Gloves - 12</t>
  </si>
  <si>
    <t>Maalika</t>
  </si>
  <si>
    <t>Main current wire changing</t>
  </si>
  <si>
    <t>Priyankara electricals</t>
  </si>
  <si>
    <t>2026.02.15</t>
  </si>
  <si>
    <t>Powder siever</t>
  </si>
  <si>
    <t>2026.02.16</t>
  </si>
  <si>
    <t>LED bulbs</t>
  </si>
  <si>
    <t>2026.02.17</t>
  </si>
  <si>
    <t>Supun / YG-1547</t>
  </si>
  <si>
    <t>Polythene 5.3Kg</t>
  </si>
  <si>
    <t>Masking tape - 5</t>
  </si>
  <si>
    <t>Mahesh book shop</t>
  </si>
  <si>
    <t>Part payment of Dankotuwa lorry hire</t>
  </si>
  <si>
    <t>Prabath / LD-5516</t>
  </si>
  <si>
    <t>Prabath</t>
  </si>
  <si>
    <t>Masking tape - 12</t>
  </si>
  <si>
    <t>2026.02.18</t>
  </si>
  <si>
    <t>Highway bus charges ( Soori - Maharagama )</t>
  </si>
  <si>
    <t>NH-3024</t>
  </si>
  <si>
    <t>3Wheeler charges from maaharagama to office</t>
  </si>
  <si>
    <t>AAC-2567</t>
  </si>
  <si>
    <t>Bunneesa</t>
  </si>
  <si>
    <t>3Wheeler charges from head office to colombo</t>
  </si>
  <si>
    <t>YC- 6527</t>
  </si>
  <si>
    <t>Normal bus charges from colombo to embilipitiya</t>
  </si>
  <si>
    <t>NE-0352</t>
  </si>
  <si>
    <t>Mr.Chef</t>
  </si>
  <si>
    <t>2026.02.19</t>
  </si>
  <si>
    <t>2026.02.20</t>
  </si>
  <si>
    <t>3Wheeler charges to sooriyawewa</t>
  </si>
  <si>
    <t>Sumanasiri AAA-9596</t>
  </si>
  <si>
    <t>Petty cash ( Rs.200,000.00)</t>
  </si>
  <si>
    <t>Biscuts, suger, soap, vim</t>
  </si>
  <si>
    <t>Dialog roughter bill</t>
  </si>
  <si>
    <t>Udarata phone shop</t>
  </si>
  <si>
    <t>Chalana</t>
  </si>
  <si>
    <t>Deepika</t>
  </si>
  <si>
    <t>2026.02.21</t>
  </si>
  <si>
    <t>Cloths for drinding machine</t>
  </si>
  <si>
    <t>Marker pen , Duster</t>
  </si>
  <si>
    <t>Sathsarani book shop</t>
  </si>
  <si>
    <t>Sugath</t>
  </si>
  <si>
    <t>Fresh Yakinaran</t>
  </si>
  <si>
    <t>2026.02.23</t>
  </si>
  <si>
    <t>Highway bus charges to galle</t>
  </si>
  <si>
    <t>ND-4714</t>
  </si>
  <si>
    <t>Mini lorry hire to sooriyawewa</t>
  </si>
  <si>
    <t>Prabath PV-2212</t>
  </si>
  <si>
    <t>Polythene 4.83Kg</t>
  </si>
  <si>
    <t>Banana ( Abul )</t>
  </si>
  <si>
    <t>ALE/ Jayantha</t>
  </si>
  <si>
    <t>Sadun</t>
  </si>
  <si>
    <t>2026.02.24</t>
  </si>
  <si>
    <t>Postal charges - moringa 10Kg</t>
  </si>
  <si>
    <t>2026.02.25</t>
  </si>
  <si>
    <t>High way bus charges - maakubura</t>
  </si>
  <si>
    <t>Passion fruit 1.1Kg</t>
  </si>
  <si>
    <t>Petty cash ( Rs.100,000.00)</t>
  </si>
  <si>
    <t>2026.02.26</t>
  </si>
  <si>
    <t>Lime, Orenge</t>
  </si>
  <si>
    <t>Gunasili</t>
  </si>
  <si>
    <t>Biscuts, suger, Serviet paper</t>
  </si>
  <si>
    <t>2026.02.27</t>
  </si>
  <si>
    <t>Lorry hire to Kadwela - Moringa leaves 210kg</t>
  </si>
  <si>
    <t>Prabath / PV- 2212</t>
  </si>
  <si>
    <t>Limaraa hotel</t>
  </si>
  <si>
    <t>Sweet &amp; Taste</t>
  </si>
  <si>
    <t>Petty cash ( Rs. 261,700.00 )</t>
  </si>
  <si>
    <t>Single phase 0.5Hp induction moter</t>
  </si>
  <si>
    <t>Causeway easy cut metal filler with hardner</t>
  </si>
  <si>
    <t>Sarathchandra Home</t>
  </si>
  <si>
    <t>2026.02.28</t>
  </si>
  <si>
    <t>2026.03.01</t>
  </si>
  <si>
    <t>A51 belt for exhaust fan</t>
  </si>
  <si>
    <t>2026.03.02</t>
  </si>
  <si>
    <t>2026.03.03</t>
  </si>
  <si>
    <t>Banana ( Seeni )</t>
  </si>
  <si>
    <t>Weerasinga</t>
  </si>
  <si>
    <t>2026.03.04</t>
  </si>
  <si>
    <t>2026.03.05</t>
  </si>
  <si>
    <t>Multibond fox glue ( Epoxy floor)</t>
  </si>
  <si>
    <t>Petrol - Pasidu</t>
  </si>
  <si>
    <t>Dinusha</t>
  </si>
  <si>
    <t>2026.03.06</t>
  </si>
  <si>
    <t>Postal charges - Prabath/ Banana 10Kg</t>
  </si>
  <si>
    <t>Post office- Sooriyawewa</t>
  </si>
  <si>
    <t>Biscuts, Suger, Tea powder</t>
  </si>
  <si>
    <t>Priyankara</t>
  </si>
  <si>
    <t>2026.03.07</t>
  </si>
  <si>
    <t>A.P. Jayawardana</t>
  </si>
  <si>
    <t>E.M. Randiw</t>
  </si>
  <si>
    <t>2026.03.08</t>
  </si>
  <si>
    <t>2026.03.09</t>
  </si>
  <si>
    <t>1" socket, anchor bolt,</t>
  </si>
  <si>
    <t>Chamil hardware</t>
  </si>
  <si>
    <t>Jayasooriya fruit</t>
  </si>
  <si>
    <t>Suger, Paper serviettes</t>
  </si>
  <si>
    <t>Hettiarachchi Super</t>
  </si>
  <si>
    <t>Paper cutter</t>
  </si>
  <si>
    <t>2 Brooms</t>
  </si>
  <si>
    <t>Hettiarachchi trade center</t>
  </si>
  <si>
    <t>Buddha statur</t>
  </si>
  <si>
    <t>Thihagoda studio</t>
  </si>
  <si>
    <t>2026.03.10</t>
  </si>
  <si>
    <t>Petrol - Supun ( moringa farmers )</t>
  </si>
  <si>
    <t>2026.03.11</t>
  </si>
  <si>
    <t>Cement 5Kg</t>
  </si>
  <si>
    <t>Insulation tape</t>
  </si>
  <si>
    <t>2026.03.12</t>
  </si>
  <si>
    <t>Highway bus charges to colombo ( Banana, orange )</t>
  </si>
  <si>
    <t>NE - 2113</t>
  </si>
  <si>
    <t>Cardboard box - 5</t>
  </si>
  <si>
    <t>Courier charges - Moringa 10Kg</t>
  </si>
  <si>
    <t>Prompt Exress</t>
  </si>
  <si>
    <t>Dust pan - 2</t>
  </si>
  <si>
    <t>20 Kade</t>
  </si>
  <si>
    <t>2" tape, file</t>
  </si>
  <si>
    <t>Petrol - Chaminda</t>
  </si>
  <si>
    <t>2026.03.13</t>
  </si>
  <si>
    <t>Fresh velpenala</t>
  </si>
  <si>
    <t>2026.03.14</t>
  </si>
  <si>
    <t>Water bottle, file tag, glue</t>
  </si>
  <si>
    <t>Polythene, pohora kawara</t>
  </si>
  <si>
    <t>Cement, sand paper</t>
  </si>
  <si>
    <t>E.M. Lal</t>
  </si>
  <si>
    <t>Soursop leaves</t>
  </si>
  <si>
    <t>2026.03.15</t>
  </si>
  <si>
    <t>2026.03.16</t>
  </si>
  <si>
    <t>Highway bus charges to colombo ( Mo/vel/cury - 40Kg )</t>
  </si>
  <si>
    <t>Mini lorry hire to sooriyawewa ( moringa/velpenala/crry )</t>
  </si>
  <si>
    <t>Fevicol glue ( for epoxy floor)</t>
  </si>
  <si>
    <t>Keerthi hardware</t>
  </si>
  <si>
    <t>Biscuts, Harpic</t>
  </si>
  <si>
    <t>2026.03.17</t>
  </si>
  <si>
    <t>E.K. Sirisena</t>
  </si>
  <si>
    <t>2026.03.18</t>
  </si>
  <si>
    <t>Petty cash ( Rs.250,000.00 )</t>
  </si>
  <si>
    <t>Rubber band - 200g</t>
  </si>
  <si>
    <t>Cloths</t>
  </si>
  <si>
    <t>Suranga</t>
  </si>
  <si>
    <t>2026.03.19</t>
  </si>
  <si>
    <t>Highway bus charges to colombo ( T cut &amp; water sam )</t>
  </si>
  <si>
    <t>Rubber band - 500g</t>
  </si>
  <si>
    <t>Lunch - Pasidu ( field visit at 3/17 )</t>
  </si>
  <si>
    <t>Rasa niwasa</t>
  </si>
  <si>
    <t>2026.03.20</t>
  </si>
  <si>
    <t>Tea - Pasidu ( field visit )</t>
  </si>
  <si>
    <t>Spray bottle - 4</t>
  </si>
  <si>
    <t>ASG super</t>
  </si>
  <si>
    <t>P205(205-16) Bearing - 4</t>
  </si>
  <si>
    <t>Embossed vaccum sealer bag - 500nos</t>
  </si>
  <si>
    <t>Packit.lk</t>
  </si>
  <si>
    <t>2026.03.21</t>
  </si>
  <si>
    <t>2026.03.22</t>
  </si>
  <si>
    <t>Samarasingha hardware</t>
  </si>
  <si>
    <t>2026.03.23</t>
  </si>
  <si>
    <t>Gloves</t>
  </si>
  <si>
    <t>S/S welding rods</t>
  </si>
  <si>
    <t>2026.03.24</t>
  </si>
  <si>
    <t>4'' cutting wheel</t>
  </si>
  <si>
    <t>2026.03.25</t>
  </si>
  <si>
    <t>Petty cash ( Rs.300,000.00 )</t>
  </si>
  <si>
    <t>Vim pack</t>
  </si>
  <si>
    <t>Gamage Stores</t>
  </si>
  <si>
    <t>2026.03.26</t>
  </si>
  <si>
    <t>Suger, biscuts</t>
  </si>
  <si>
    <t>13A plug top, rivert neel, srew</t>
  </si>
  <si>
    <t>Postal charges - Prabath/ Moringa 15Kg</t>
  </si>
  <si>
    <t>Postal charges - Sithara / Soursop leaves 10Kg</t>
  </si>
  <si>
    <t>Diesel for Coco lorry</t>
  </si>
  <si>
    <t>Tea - Supun/Rohana/Dileepa</t>
  </si>
  <si>
    <t>MS Thuru sewaana</t>
  </si>
  <si>
    <t>Wood - Landmaster load</t>
  </si>
  <si>
    <t>Rashmika</t>
  </si>
  <si>
    <t>2026.03.27</t>
  </si>
  <si>
    <t>5g Silica gel - 1000 pack</t>
  </si>
  <si>
    <t>Shengzhe Desiccant</t>
  </si>
  <si>
    <t>2026.03.28</t>
  </si>
  <si>
    <t>2 Pulli for exhaust and blower motors</t>
  </si>
  <si>
    <t>Sand paper, Multibod, Steel tape</t>
  </si>
  <si>
    <t>Buddha lamp , incense stick holder</t>
  </si>
  <si>
    <t>Petrol - chaminda / Embilipitiya</t>
  </si>
  <si>
    <t>Lanka filling station</t>
  </si>
  <si>
    <t>Thebu</t>
  </si>
  <si>
    <t>2026.03.29</t>
  </si>
  <si>
    <t>2026.03.30</t>
  </si>
  <si>
    <t>Wifi router bill</t>
  </si>
  <si>
    <t>Commercial bank</t>
  </si>
  <si>
    <t>2026.03.31</t>
  </si>
  <si>
    <t>UCP 205- two Bearing</t>
  </si>
  <si>
    <t>Lathe machine charges for a Pulli</t>
  </si>
  <si>
    <t>Shan motors</t>
  </si>
  <si>
    <t>2026.04.01</t>
  </si>
  <si>
    <t>2026.04.02</t>
  </si>
  <si>
    <t>Suger, biscuts, tea powder</t>
  </si>
  <si>
    <t>Beragama Stores</t>
  </si>
  <si>
    <t>Anura</t>
  </si>
  <si>
    <t>2026.04.03</t>
  </si>
  <si>
    <t>Currier charges - Silica gel</t>
  </si>
  <si>
    <t>Prompt Express</t>
  </si>
  <si>
    <t>2026.04.04</t>
  </si>
  <si>
    <t>2026.04.05</t>
  </si>
  <si>
    <t>Welding rods</t>
  </si>
  <si>
    <t>2026.04.06</t>
  </si>
  <si>
    <t>Petty cash ( Rs. 300,000.00 )</t>
  </si>
  <si>
    <t>Lorry hire to Dankotuwa ( Moringa powder - 500Kg )</t>
  </si>
  <si>
    <t>Prabath LD-5516</t>
  </si>
  <si>
    <t>Enamal paint - 500ml</t>
  </si>
  <si>
    <t>Samarasingha hardwear</t>
  </si>
  <si>
    <t>Polythene - 5.75Kg</t>
  </si>
  <si>
    <t>Water sample testing charges</t>
  </si>
  <si>
    <t>Water board- Tangalla</t>
  </si>
  <si>
    <t>Indian restaurant</t>
  </si>
  <si>
    <t>Isuru hotel</t>
  </si>
  <si>
    <t>2026.04.07</t>
  </si>
  <si>
    <t>Enamal paint - 700ml + Tiner 1L</t>
  </si>
  <si>
    <t>2026.04.08</t>
  </si>
  <si>
    <t>Food grade polythene - 8.650Kg</t>
  </si>
  <si>
    <t>Deens</t>
  </si>
  <si>
    <t>Highway bus charges - Polythene</t>
  </si>
  <si>
    <t>NH-2500</t>
  </si>
  <si>
    <t>Grinder net and tape</t>
  </si>
  <si>
    <t>Pad lock 3nos</t>
  </si>
  <si>
    <t>New town hardware</t>
  </si>
  <si>
    <t>Pohora kawara - 5nos</t>
  </si>
  <si>
    <t>1000L water tank</t>
  </si>
  <si>
    <t>Dahaya kanuwa hardware</t>
  </si>
  <si>
    <t>2026.04.09</t>
  </si>
  <si>
    <t>Embossed vaccum sealer bags - 525nos</t>
  </si>
  <si>
    <t>Epoxy floor damage repairing charges</t>
  </si>
  <si>
    <t>2026.04.10</t>
  </si>
  <si>
    <t>Highway bus charges - Gotukola leaves</t>
  </si>
  <si>
    <t>2026.04.20</t>
  </si>
  <si>
    <t>Fresh Akkapana leaves</t>
  </si>
  <si>
    <t>2026.04.21</t>
  </si>
  <si>
    <t>Pohora kawara - 30nos</t>
  </si>
  <si>
    <t>13A plug top</t>
  </si>
  <si>
    <t>2026.04.22</t>
  </si>
  <si>
    <t>Petty cash ( Rs. 200,000.00 )</t>
  </si>
  <si>
    <t>Postal charges - Sithara/ Soursop leaves 500 pack</t>
  </si>
  <si>
    <t>Post office - Sooruyawewa</t>
  </si>
  <si>
    <t>Wood and soursop leaves transport charges</t>
  </si>
  <si>
    <t>Nut and Bolt for grinding machine</t>
  </si>
  <si>
    <t>Photocopy - 100nosjj</t>
  </si>
  <si>
    <t>Polythene - 3.33Kg</t>
  </si>
  <si>
    <t>Oshada</t>
  </si>
  <si>
    <t>G.A. Priyankara</t>
  </si>
  <si>
    <t>Suresha</t>
  </si>
  <si>
    <t>2026.04.23</t>
  </si>
  <si>
    <t>3Wheel charges to sooriyawewa</t>
  </si>
  <si>
    <t>Dileepa</t>
  </si>
  <si>
    <t>Highway bus charges to colombo- chaminda/pasidu</t>
  </si>
  <si>
    <t>NE-2514</t>
  </si>
  <si>
    <t>Breakfast - Chaminda/Pasidu</t>
  </si>
  <si>
    <t>Coke corner house</t>
  </si>
  <si>
    <t>3Wheel charges from maharagama to head office</t>
  </si>
  <si>
    <t>AAA-2413</t>
  </si>
  <si>
    <t>3Wheel charges from head office to Maakubura</t>
  </si>
  <si>
    <t>QC-6535</t>
  </si>
  <si>
    <t>Highway bus charges to Padalangala- Cha/ Pasi/ Jayan</t>
  </si>
  <si>
    <t>NE-5294</t>
  </si>
  <si>
    <t>Tea - Chaminda/Pasidu/Jayantha</t>
  </si>
  <si>
    <t>Wade kade</t>
  </si>
  <si>
    <t>3Wheel charges from padalangala to factory</t>
  </si>
  <si>
    <t>3Wheel charges to sooriyawewa- Soursop leaves pack</t>
  </si>
  <si>
    <t>Idunil / YF-2011</t>
  </si>
  <si>
    <t>2026.04.24</t>
  </si>
  <si>
    <t>Mask</t>
  </si>
  <si>
    <t>Jayamal pharmacy</t>
  </si>
  <si>
    <t>Highway bus charges to Maakubura - Moringa powder 25Kg</t>
  </si>
  <si>
    <t>3Wheel charges to sooriyawewa- Moringa powder 45Kg</t>
  </si>
  <si>
    <t>UCP 205- 16 Bearing - 3nos</t>
  </si>
  <si>
    <t>Field note book - 4nos</t>
  </si>
  <si>
    <t>2026.04.25</t>
  </si>
  <si>
    <t>2026.04.26</t>
  </si>
  <si>
    <t>2026.04.27</t>
  </si>
  <si>
    <t>2026.04.28</t>
  </si>
  <si>
    <t>Petty cash ( Rs. 100,000.00 )</t>
  </si>
  <si>
    <t>12V - 2A Charger for Laptop</t>
  </si>
  <si>
    <t>Sameera electrical</t>
  </si>
  <si>
    <t>Soap, Vim, Match box</t>
  </si>
  <si>
    <t>MS Thuru sewana</t>
  </si>
  <si>
    <t>2026.04.29</t>
  </si>
  <si>
    <t>Leelawathi</t>
  </si>
  <si>
    <t>2026.04.30</t>
  </si>
  <si>
    <t>Cassava leaves</t>
  </si>
  <si>
    <t>2026.05.01</t>
  </si>
  <si>
    <t>Piyal</t>
  </si>
  <si>
    <t>Heen aiya</t>
  </si>
  <si>
    <t>2026.05.02</t>
  </si>
  <si>
    <t>Priyanthi</t>
  </si>
  <si>
    <t>Sunethra</t>
  </si>
  <si>
    <t>Fresh cassava leaves</t>
  </si>
  <si>
    <t>Diesel - Bolero</t>
  </si>
  <si>
    <t>Tea - Chathura/Supun</t>
  </si>
  <si>
    <t>2026.05.03</t>
  </si>
  <si>
    <t>Gamini</t>
  </si>
  <si>
    <t>Sumanalatha</t>
  </si>
  <si>
    <t>Buddhika</t>
  </si>
  <si>
    <t>Renuka - B</t>
  </si>
  <si>
    <t>Channa</t>
  </si>
  <si>
    <t>Air filling to Bolero wheels</t>
  </si>
  <si>
    <t>2026.05.04</t>
  </si>
  <si>
    <t>Madura</t>
  </si>
  <si>
    <t>Buddhasiri</t>
  </si>
  <si>
    <t>Bolero half rental of May</t>
  </si>
  <si>
    <t>Chaminda / DAC-2481</t>
  </si>
  <si>
    <t>Suger, Tea powder</t>
  </si>
  <si>
    <t>Postal charges - Banana,Gotukolapowder</t>
  </si>
  <si>
    <t>Post office- sooriyawewa</t>
  </si>
  <si>
    <t>2026.05.05</t>
  </si>
  <si>
    <t>Petty cash ( Rs.79,000.00)</t>
  </si>
  <si>
    <t>Farm petty cash</t>
  </si>
  <si>
    <t>Jayantha</t>
  </si>
  <si>
    <t>Diesel - Bolero / DAC-2481</t>
  </si>
  <si>
    <t>Lanka filling</t>
  </si>
  <si>
    <t>Breakfast - Supun/Dileepa</t>
  </si>
  <si>
    <t>Lunch - Supun/Dileepa</t>
  </si>
  <si>
    <t>Duween food</t>
  </si>
  <si>
    <t>Dinner - Supun/Dileepa</t>
  </si>
  <si>
    <t>Sooriyawewa</t>
  </si>
  <si>
    <t>Highway charges for Bolero / Sooriyawewa-Katunayaka</t>
  </si>
  <si>
    <t>Southern highway</t>
  </si>
  <si>
    <t>Tea - Supun/Dileepa</t>
  </si>
  <si>
    <t>2026.05.06</t>
  </si>
  <si>
    <t>Pully - 2</t>
  </si>
  <si>
    <t>Thilina motors</t>
  </si>
  <si>
    <t>Signal bulb for bolero</t>
  </si>
  <si>
    <t>Repairing breack light - bolero</t>
  </si>
  <si>
    <t>Sampath auto</t>
  </si>
  <si>
    <t>Tyre punch - bolero</t>
  </si>
  <si>
    <t>SP Tyre warks</t>
  </si>
  <si>
    <t>Postal charges - Jackfruit powder</t>
  </si>
  <si>
    <t>2026.05.07</t>
  </si>
  <si>
    <t>Sealer machine Tape</t>
  </si>
  <si>
    <t>Tea - Chathura</t>
  </si>
  <si>
    <t>2026.05.08</t>
  </si>
  <si>
    <t>Blower,window and fan repairing</t>
  </si>
  <si>
    <t>Ajith welding</t>
  </si>
  <si>
    <t>2026.05.09</t>
  </si>
  <si>
    <t>Aluminium bar</t>
  </si>
  <si>
    <t>Moditech</t>
  </si>
  <si>
    <t>Postal charges - Tapioca leaves / Horowpathana</t>
  </si>
  <si>
    <t>Postal charges- Moringa/Curry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</si>
</sst>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sz val="10"/>
      <name val="Arial"/>
    </font>
    <font>
      <b/>
      <color theme="1"/>
      <sz val="10"/>
      <name val="Arial"/>
    </font>
    <font>
      <sz val="10"/>
      <name val="Arial"/>
    </font>
    <font>
      <color rgb="FF000000"/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trike/>
      <sz val="10"/>
      <name val="Arial"/>
    </font>
    <font>
      <b/>
      <color rgb="FF000000"/>
      <strike/>
      <sz val="10"/>
      <name val="Arial"/>
    </font>
    <font>
      <color theme="1"/>
      <strike/>
      <sz val="10"/>
      <name val="Arial"/>
    </font>
    <font>
      <color rgb="FF000000"/>
      <sz val="10"/>
      <name val="Calibri"/>
    </font>
    <font>
      <u/>
      <color rgb="FF000000"/>
      <sz val="10"/>
      <name val="Arial"/>
    </font>
    <font>
      <color theme="1"/>
      <scheme val="minor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2" xfId="0" applyFont="1" applyFill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0" borderId="0" xfId="0" applyFont="1" applyAlignment="1">
      <alignment horizontal="center"/>
    </xf>
    <xf numFmtId="0" fontId="3" fillId="0" borderId="6" xfId="0" applyFont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0" fontId="1" fillId="2" borderId="2" xfId="0" applyFont="1" applyFill="1" applyBorder="1"/>
    <xf numFmtId="0" fontId="1" fillId="2" borderId="0" xfId="0" applyFont="1" applyFill="1"/>
    <xf numFmtId="0" fontId="4" fillId="0" borderId="2" xfId="0" applyFont="1" applyBorder="1"/>
    <xf numFmtId="0" fontId="4" fillId="0" borderId="6" xfId="0" applyFont="1" applyBorder="1"/>
    <xf numFmtId="4" fontId="4" fillId="0" borderId="2" xfId="0" applyNumberFormat="1" applyFont="1" applyBorder="1" applyAlignment="1">
      <alignment horizontal="right"/>
    </xf>
    <xf numFmtId="4" fontId="1" fillId="0" borderId="2" xfId="0" applyNumberFormat="1" applyFont="1" applyBorder="1"/>
    <xf numFmtId="4" fontId="4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5" xfId="0" applyFont="1" applyBorder="1"/>
    <xf numFmtId="4" fontId="4" fillId="0" borderId="5" xfId="0" applyNumberFormat="1" applyFont="1" applyBorder="1" applyAlignment="1">
      <alignment horizontal="right"/>
    </xf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5" fillId="0" borderId="7" xfId="0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2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1" fillId="0" borderId="5" xfId="0" applyFont="1" applyBorder="1"/>
    <xf numFmtId="0" fontId="1" fillId="2" borderId="5" xfId="0" applyFont="1" applyFill="1" applyBorder="1"/>
    <xf numFmtId="0" fontId="5" fillId="0" borderId="5" xfId="0" applyFont="1" applyBorder="1" applyAlignment="1">
      <alignment horizontal="right"/>
    </xf>
    <xf numFmtId="0" fontId="5" fillId="2" borderId="5" xfId="0" applyFont="1" applyFill="1" applyBorder="1"/>
    <xf numFmtId="0" fontId="5" fillId="0" borderId="7" xfId="0" applyFont="1" applyBorder="1" applyAlignment="1">
      <alignment horizontal="right"/>
    </xf>
    <xf numFmtId="0" fontId="5" fillId="2" borderId="7" xfId="0" applyFont="1" applyFill="1" applyBorder="1"/>
    <xf numFmtId="0" fontId="5" fillId="2" borderId="2" xfId="0" applyFont="1" applyFill="1" applyBorder="1"/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/>
    <xf numFmtId="4" fontId="5" fillId="2" borderId="0" xfId="0" applyNumberFormat="1" applyFont="1" applyFill="1"/>
    <xf numFmtId="0" fontId="5" fillId="2" borderId="0" xfId="0" applyFont="1" applyFill="1"/>
    <xf numFmtId="0" fontId="5" fillId="0" borderId="8" xfId="0" applyFont="1" applyBorder="1"/>
    <xf numFmtId="4" fontId="5" fillId="2" borderId="8" xfId="0" applyNumberFormat="1" applyFont="1" applyFill="1" applyBorder="1"/>
    <xf numFmtId="0" fontId="5" fillId="2" borderId="8" xfId="0" applyFont="1" applyFill="1" applyBorder="1"/>
    <xf numFmtId="0" fontId="5" fillId="0" borderId="9" xfId="0" applyFont="1" applyBorder="1"/>
    <xf numFmtId="0" fontId="6" fillId="0" borderId="10" xfId="0" applyFont="1" applyBorder="1"/>
    <xf numFmtId="4" fontId="5" fillId="2" borderId="7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" fontId="5" fillId="0" borderId="7" xfId="0" applyNumberFormat="1" applyFont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0" fontId="5" fillId="2" borderId="9" xfId="0" applyFont="1" applyFill="1" applyBorder="1"/>
    <xf numFmtId="4" fontId="5" fillId="0" borderId="2" xfId="0" applyNumberFormat="1" applyFont="1" applyBorder="1" applyAlignment="1">
      <alignment horizontal="right"/>
    </xf>
    <xf numFmtId="4" fontId="5" fillId="2" borderId="2" xfId="0" applyNumberFormat="1" applyFont="1" applyFill="1" applyBorder="1"/>
    <xf numFmtId="4" fontId="5" fillId="0" borderId="0" xfId="0" applyNumberFormat="1" applyFont="1"/>
    <xf numFmtId="2" fontId="5" fillId="0" borderId="0" xfId="0" applyNumberFormat="1" applyFont="1"/>
    <xf numFmtId="4" fontId="5" fillId="0" borderId="8" xfId="0" applyNumberFormat="1" applyFont="1" applyBorder="1"/>
    <xf numFmtId="2" fontId="5" fillId="0" borderId="8" xfId="0" applyNumberFormat="1" applyFont="1" applyBorder="1"/>
    <xf numFmtId="4" fontId="6" fillId="0" borderId="10" xfId="0" applyNumberFormat="1" applyFont="1" applyBorder="1"/>
    <xf numFmtId="2" fontId="6" fillId="0" borderId="10" xfId="0" applyNumberFormat="1" applyFont="1" applyBorder="1"/>
    <xf numFmtId="4" fontId="6" fillId="0" borderId="7" xfId="0" applyNumberFormat="1" applyFont="1" applyBorder="1" applyAlignment="1">
      <alignment horizontal="center"/>
    </xf>
    <xf numFmtId="4" fontId="5" fillId="0" borderId="7" xfId="0" applyNumberFormat="1" applyFont="1" applyBorder="1"/>
    <xf numFmtId="2" fontId="5" fillId="0" borderId="7" xfId="0" applyNumberFormat="1" applyFont="1" applyBorder="1"/>
    <xf numFmtId="2" fontId="5" fillId="0" borderId="7" xfId="0" applyNumberFormat="1" applyFont="1" applyBorder="1" applyAlignment="1">
      <alignment horizontal="right"/>
    </xf>
    <xf numFmtId="4" fontId="5" fillId="2" borderId="7" xfId="0" applyNumberFormat="1" applyFont="1" applyFill="1" applyBorder="1" applyAlignment="1">
      <alignment horizontal="right"/>
    </xf>
    <xf numFmtId="4" fontId="5" fillId="2" borderId="2" xfId="0" applyNumberFormat="1" applyFont="1" applyFill="1" applyBorder="1" applyAlignment="1">
      <alignment horizontal="right"/>
    </xf>
    <xf numFmtId="4" fontId="5" fillId="0" borderId="2" xfId="0" applyNumberFormat="1" applyFont="1" applyBorder="1"/>
    <xf numFmtId="2" fontId="5" fillId="0" borderId="2" xfId="0" applyNumberFormat="1" applyFont="1" applyBorder="1"/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" fontId="5" fillId="0" borderId="5" xfId="0" applyNumberFormat="1" applyFont="1" applyBorder="1" applyAlignment="1">
      <alignment horizontal="right"/>
    </xf>
    <xf numFmtId="0" fontId="5" fillId="0" borderId="10" xfId="0" applyFont="1" applyBorder="1"/>
    <xf numFmtId="4" fontId="5" fillId="0" borderId="10" xfId="0" applyNumberFormat="1" applyFont="1" applyBorder="1"/>
    <xf numFmtId="0" fontId="5" fillId="0" borderId="4" xfId="0" applyFont="1" applyBorder="1" applyAlignment="1">
      <alignment horizontal="center"/>
    </xf>
    <xf numFmtId="2" fontId="5" fillId="0" borderId="10" xfId="0" applyNumberFormat="1" applyFont="1" applyBorder="1"/>
    <xf numFmtId="0" fontId="4" fillId="0" borderId="9" xfId="0" applyFont="1" applyBorder="1"/>
    <xf numFmtId="4" fontId="4" fillId="0" borderId="0" xfId="0" applyNumberFormat="1" applyFont="1" applyAlignment="1">
      <alignment horizontal="right"/>
    </xf>
    <xf numFmtId="4" fontId="7" fillId="2" borderId="7" xfId="0" applyNumberFormat="1" applyFont="1" applyFill="1" applyBorder="1"/>
    <xf numFmtId="0" fontId="8" fillId="0" borderId="7" xfId="0" applyFont="1" applyBorder="1" applyAlignment="1">
      <alignment horizontal="center"/>
    </xf>
    <xf numFmtId="4" fontId="8" fillId="0" borderId="7" xfId="0" applyNumberFormat="1" applyFont="1" applyBorder="1" applyAlignment="1">
      <alignment horizontal="center"/>
    </xf>
    <xf numFmtId="0" fontId="7" fillId="2" borderId="7" xfId="0" applyFont="1" applyFill="1" applyBorder="1"/>
    <xf numFmtId="0" fontId="7" fillId="0" borderId="0" xfId="0" applyFont="1"/>
    <xf numFmtId="0" fontId="9" fillId="0" borderId="0" xfId="0" applyFont="1"/>
    <xf numFmtId="0" fontId="10" fillId="0" borderId="7" xfId="0" applyFont="1" applyBorder="1"/>
    <xf numFmtId="0" fontId="5" fillId="0" borderId="8" xfId="0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0" fontId="11" fillId="0" borderId="7" xfId="0" applyFont="1" applyBorder="1"/>
    <xf numFmtId="4" fontId="12" fillId="0" borderId="0" xfId="0" applyNumberFormat="1" applyFont="1"/>
    <xf numFmtId="3" fontId="5" fillId="0" borderId="7" xfId="0" applyNumberFormat="1" applyFont="1" applyBorder="1"/>
    <xf numFmtId="4" fontId="5" fillId="0" borderId="9" xfId="0" applyNumberFormat="1" applyFont="1" applyBorder="1" applyAlignment="1">
      <alignment horizontal="right"/>
    </xf>
    <xf numFmtId="4" fontId="5" fillId="2" borderId="9" xfId="0" applyNumberFormat="1" applyFont="1" applyFill="1" applyBorder="1"/>
    <xf numFmtId="0" fontId="5" fillId="0" borderId="9" xfId="0" applyFont="1" applyBorder="1" applyAlignment="1">
      <alignment horizontal="right"/>
    </xf>
    <xf numFmtId="4" fontId="5" fillId="3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packit.lk/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packit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.25" defaultColWidth="12.6640625"/>
  <cols>
    <col min="1" max="3" width="12.6640625" customWidth="1"/>
    <col min="4" max="4" width="38.44140625" customWidth="1"/>
    <col min="5" max="5" width="18" customWidth="1"/>
    <col min="6" max="6" width="12.6640625" customWidth="1"/>
    <col min="7" max="7" width="4.88671875" customWidth="1"/>
    <col min="20" max="20" width="6.44140625" customWidth="1"/>
  </cols>
  <sheetData>
    <row r="1" ht="15.75" customHeight="1" x14ac:dyDescent="0.25"/>
    <row r="2" ht="15.75" customHeight="1" spans="12:12" x14ac:dyDescent="0.25">
      <c r="L2" s="1">
        <f>69495-2850-950</f>
        <v>65695</v>
      </c>
    </row>
    <row r="3" ht="15.75" customHeight="1" x14ac:dyDescent="0.25"/>
    <row r="4" ht="15.75" customHeight="1" x14ac:dyDescent="0.25"/>
    <row r="5" ht="15.75" customHeight="1" x14ac:dyDescent="0.25"/>
    <row r="6" ht="15.75" customHeight="1" spans="1:26" x14ac:dyDescent="0.25">
      <c r="A6" s="2"/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4"/>
      <c r="H6" s="5" t="s">
        <v>5</v>
      </c>
      <c r="I6" s="6"/>
      <c r="J6" s="7"/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12</v>
      </c>
      <c r="R6" s="3" t="s">
        <v>13</v>
      </c>
      <c r="S6" s="3" t="s">
        <v>14</v>
      </c>
      <c r="T6" s="4"/>
      <c r="U6" s="3" t="s">
        <v>15</v>
      </c>
      <c r="V6" s="2"/>
      <c r="W6" s="2"/>
      <c r="X6" s="2"/>
      <c r="Y6" s="2"/>
      <c r="Z6" s="2"/>
    </row>
    <row r="7" ht="15.75" customHeight="1" spans="1:26" x14ac:dyDescent="0.25">
      <c r="A7" s="8"/>
      <c r="B7" s="9"/>
      <c r="C7" s="9"/>
      <c r="D7" s="9"/>
      <c r="E7" s="9"/>
      <c r="F7" s="9"/>
      <c r="G7" s="10"/>
      <c r="H7" s="11" t="s">
        <v>16</v>
      </c>
      <c r="I7" s="11" t="s">
        <v>17</v>
      </c>
      <c r="J7" s="11" t="s">
        <v>18</v>
      </c>
      <c r="K7" s="9"/>
      <c r="L7" s="9"/>
      <c r="M7" s="9"/>
      <c r="N7" s="9"/>
      <c r="O7" s="9"/>
      <c r="P7" s="9"/>
      <c r="Q7" s="9"/>
      <c r="R7" s="9"/>
      <c r="S7" s="9"/>
      <c r="T7" s="10"/>
      <c r="U7" s="9"/>
      <c r="V7" s="8"/>
      <c r="W7" s="8"/>
      <c r="X7" s="8"/>
      <c r="Y7" s="8"/>
      <c r="Z7" s="8"/>
    </row>
    <row r="8" ht="15.75" customHeight="1" spans="2:21" x14ac:dyDescent="0.25">
      <c r="B8" s="12" t="s">
        <v>19</v>
      </c>
      <c r="C8" s="12"/>
      <c r="D8" s="12" t="s">
        <v>20</v>
      </c>
      <c r="E8" s="12"/>
      <c r="F8" s="12"/>
      <c r="G8" s="13"/>
      <c r="H8" s="12"/>
      <c r="I8" s="12"/>
      <c r="J8" s="12">
        <f t="shared" ref="J8:J29" si="0">H8*I8</f>
        <v>0</v>
      </c>
      <c r="K8" s="12"/>
      <c r="L8" s="12"/>
      <c r="M8" s="12"/>
      <c r="N8" s="12"/>
      <c r="O8" s="12"/>
      <c r="P8" s="12"/>
      <c r="Q8" s="12"/>
      <c r="R8" s="12"/>
      <c r="S8" s="12"/>
      <c r="T8" s="13">
        <v>10000</v>
      </c>
      <c r="U8" s="12">
        <v>10000</v>
      </c>
    </row>
    <row r="9" ht="15.75" customHeight="1" spans="2:21" x14ac:dyDescent="0.25">
      <c r="B9" s="12"/>
      <c r="C9" s="12">
        <v>1</v>
      </c>
      <c r="D9" s="12" t="s">
        <v>21</v>
      </c>
      <c r="E9" s="12" t="s">
        <v>22</v>
      </c>
      <c r="F9" s="12">
        <v>4250</v>
      </c>
      <c r="G9" s="13"/>
      <c r="H9" s="12"/>
      <c r="I9" s="12"/>
      <c r="J9" s="12">
        <f t="shared" si="0"/>
        <v>0</v>
      </c>
      <c r="K9" s="12"/>
      <c r="L9" s="12"/>
      <c r="M9" s="12"/>
      <c r="N9" s="12"/>
      <c r="O9" s="12"/>
      <c r="P9" s="12"/>
      <c r="Q9" s="12">
        <v>4250</v>
      </c>
      <c r="R9" s="12"/>
      <c r="S9" s="12"/>
      <c r="T9" s="13"/>
      <c r="U9" s="12">
        <f t="shared" ref="U9:U12" si="1">U8-F9</f>
        <v>5750</v>
      </c>
    </row>
    <row r="10" ht="15.75" customHeight="1" spans="2:21" x14ac:dyDescent="0.25">
      <c r="B10" s="12"/>
      <c r="C10" s="12">
        <v>2</v>
      </c>
      <c r="D10" s="12" t="s">
        <v>23</v>
      </c>
      <c r="E10" s="12" t="s">
        <v>24</v>
      </c>
      <c r="F10" s="12">
        <v>2940</v>
      </c>
      <c r="G10" s="13"/>
      <c r="H10" s="12"/>
      <c r="I10" s="12"/>
      <c r="J10" s="12">
        <f t="shared" si="0"/>
        <v>0</v>
      </c>
      <c r="K10" s="12"/>
      <c r="L10" s="12"/>
      <c r="M10" s="12"/>
      <c r="N10" s="12"/>
      <c r="O10" s="12"/>
      <c r="P10" s="12"/>
      <c r="Q10" s="12">
        <v>2940</v>
      </c>
      <c r="R10" s="12"/>
      <c r="S10" s="12"/>
      <c r="T10" s="13"/>
      <c r="U10" s="12">
        <f t="shared" si="1"/>
        <v>2810</v>
      </c>
    </row>
    <row r="11" ht="15.75" customHeight="1" spans="2:21" x14ac:dyDescent="0.25">
      <c r="B11" s="12"/>
      <c r="C11" s="12">
        <v>3</v>
      </c>
      <c r="D11" s="12" t="s">
        <v>25</v>
      </c>
      <c r="E11" s="12" t="s">
        <v>26</v>
      </c>
      <c r="F11" s="12">
        <v>300</v>
      </c>
      <c r="G11" s="13"/>
      <c r="H11" s="12"/>
      <c r="I11" s="12"/>
      <c r="J11" s="12">
        <f t="shared" si="0"/>
        <v>0</v>
      </c>
      <c r="K11" s="12"/>
      <c r="L11" s="12"/>
      <c r="M11" s="12"/>
      <c r="N11" s="12"/>
      <c r="O11" s="12"/>
      <c r="P11" s="12">
        <v>300</v>
      </c>
      <c r="Q11" s="12"/>
      <c r="R11" s="12"/>
      <c r="S11" s="12"/>
      <c r="T11" s="13"/>
      <c r="U11" s="12">
        <f t="shared" si="1"/>
        <v>2510</v>
      </c>
    </row>
    <row r="12" ht="15.75" customHeight="1" spans="2:21" x14ac:dyDescent="0.25">
      <c r="B12" s="12"/>
      <c r="C12" s="12">
        <v>4</v>
      </c>
      <c r="D12" s="12" t="s">
        <v>27</v>
      </c>
      <c r="E12" s="12" t="s">
        <v>28</v>
      </c>
      <c r="F12" s="12">
        <v>1855</v>
      </c>
      <c r="G12" s="13"/>
      <c r="H12" s="12"/>
      <c r="I12" s="12"/>
      <c r="J12" s="12">
        <f t="shared" si="0"/>
        <v>0</v>
      </c>
      <c r="K12" s="12"/>
      <c r="L12" s="12"/>
      <c r="M12" s="12">
        <v>1855</v>
      </c>
      <c r="N12" s="12"/>
      <c r="O12" s="12"/>
      <c r="P12" s="12"/>
      <c r="Q12" s="12"/>
      <c r="R12" s="12"/>
      <c r="S12" s="12"/>
      <c r="T12" s="13"/>
      <c r="U12" s="12">
        <f t="shared" si="1"/>
        <v>655</v>
      </c>
    </row>
    <row r="13" ht="15.75" customHeight="1" spans="2:21" x14ac:dyDescent="0.25">
      <c r="B13" s="12" t="s">
        <v>29</v>
      </c>
      <c r="C13" s="12"/>
      <c r="D13" s="12" t="s">
        <v>30</v>
      </c>
      <c r="E13" s="12"/>
      <c r="F13" s="12"/>
      <c r="G13" s="13"/>
      <c r="H13" s="12"/>
      <c r="I13" s="12"/>
      <c r="J13" s="12">
        <f t="shared" si="0"/>
        <v>0</v>
      </c>
      <c r="K13" s="12"/>
      <c r="L13" s="12"/>
      <c r="M13" s="12"/>
      <c r="N13" s="12"/>
      <c r="O13" s="12"/>
      <c r="P13" s="12"/>
      <c r="Q13" s="12"/>
      <c r="R13" s="12"/>
      <c r="S13" s="12"/>
      <c r="T13" s="13">
        <v>105000</v>
      </c>
      <c r="U13" s="12">
        <f>105000+655</f>
        <v>105655</v>
      </c>
    </row>
    <row r="14" ht="15.75" customHeight="1" spans="2:21" x14ac:dyDescent="0.25">
      <c r="B14" s="12"/>
      <c r="C14" s="12"/>
      <c r="D14" s="12" t="s">
        <v>31</v>
      </c>
      <c r="E14" s="12"/>
      <c r="F14" s="12"/>
      <c r="G14" s="13"/>
      <c r="H14" s="12"/>
      <c r="I14" s="12"/>
      <c r="J14" s="12">
        <f t="shared" si="0"/>
        <v>0</v>
      </c>
      <c r="K14" s="12"/>
      <c r="L14" s="12"/>
      <c r="M14" s="12"/>
      <c r="N14" s="12"/>
      <c r="O14" s="12"/>
      <c r="P14" s="12"/>
      <c r="Q14" s="12"/>
      <c r="R14" s="12"/>
      <c r="S14" s="12"/>
      <c r="T14" s="13"/>
      <c r="U14" s="12">
        <f t="shared" ref="U14:U22" si="2">U13-F14</f>
        <v>105655</v>
      </c>
    </row>
    <row r="15" ht="15.75" customHeight="1" spans="2:21" x14ac:dyDescent="0.25">
      <c r="B15" s="12"/>
      <c r="C15" s="12">
        <v>5</v>
      </c>
      <c r="D15" s="12" t="s">
        <v>9</v>
      </c>
      <c r="E15" s="12"/>
      <c r="F15" s="12">
        <v>25000</v>
      </c>
      <c r="G15" s="13"/>
      <c r="H15" s="12"/>
      <c r="I15" s="12"/>
      <c r="J15" s="12">
        <f t="shared" si="0"/>
        <v>0</v>
      </c>
      <c r="K15" s="12"/>
      <c r="L15" s="12">
        <v>25000</v>
      </c>
      <c r="M15" s="12"/>
      <c r="N15" s="12"/>
      <c r="O15" s="12"/>
      <c r="P15" s="12"/>
      <c r="Q15" s="12"/>
      <c r="R15" s="12"/>
      <c r="S15" s="12"/>
      <c r="T15" s="13"/>
      <c r="U15" s="12">
        <f t="shared" si="2"/>
        <v>80655</v>
      </c>
    </row>
    <row r="16" ht="15.75" customHeight="1" spans="2:21" x14ac:dyDescent="0.25">
      <c r="B16" s="12"/>
      <c r="C16" s="12">
        <v>6</v>
      </c>
      <c r="D16" s="12" t="s">
        <v>32</v>
      </c>
      <c r="E16" s="12"/>
      <c r="F16" s="12">
        <v>1550</v>
      </c>
      <c r="G16" s="13"/>
      <c r="H16" s="12"/>
      <c r="I16" s="12"/>
      <c r="J16" s="12">
        <f t="shared" si="0"/>
        <v>0</v>
      </c>
      <c r="K16" s="12"/>
      <c r="L16" s="12">
        <v>1550</v>
      </c>
      <c r="M16" s="12"/>
      <c r="N16" s="12"/>
      <c r="O16" s="12"/>
      <c r="P16" s="12"/>
      <c r="Q16" s="12"/>
      <c r="R16" s="12"/>
      <c r="S16" s="12"/>
      <c r="T16" s="13"/>
      <c r="U16" s="12">
        <f t="shared" si="2"/>
        <v>79105</v>
      </c>
    </row>
    <row r="17" ht="15.75" customHeight="1" spans="2:21" x14ac:dyDescent="0.25">
      <c r="B17" s="12"/>
      <c r="C17" s="12">
        <v>7</v>
      </c>
      <c r="D17" s="12" t="s">
        <v>33</v>
      </c>
      <c r="E17" s="12"/>
      <c r="F17" s="12">
        <v>1550</v>
      </c>
      <c r="G17" s="13"/>
      <c r="H17" s="12"/>
      <c r="I17" s="12"/>
      <c r="J17" s="12">
        <f t="shared" si="0"/>
        <v>0</v>
      </c>
      <c r="K17" s="12"/>
      <c r="L17" s="12">
        <v>1550</v>
      </c>
      <c r="M17" s="12"/>
      <c r="N17" s="12"/>
      <c r="O17" s="12"/>
      <c r="P17" s="12"/>
      <c r="Q17" s="12"/>
      <c r="R17" s="12"/>
      <c r="S17" s="12"/>
      <c r="T17" s="13"/>
      <c r="U17" s="12">
        <f t="shared" si="2"/>
        <v>77555</v>
      </c>
    </row>
    <row r="18" ht="15.75" customHeight="1" spans="2:21" x14ac:dyDescent="0.25">
      <c r="B18" s="12"/>
      <c r="C18" s="12">
        <v>8</v>
      </c>
      <c r="D18" s="12" t="s">
        <v>34</v>
      </c>
      <c r="E18" s="12" t="s">
        <v>35</v>
      </c>
      <c r="F18" s="12">
        <v>890</v>
      </c>
      <c r="G18" s="13"/>
      <c r="H18" s="12"/>
      <c r="I18" s="12"/>
      <c r="J18" s="12">
        <f t="shared" si="0"/>
        <v>0</v>
      </c>
      <c r="K18" s="12"/>
      <c r="L18" s="12">
        <v>890</v>
      </c>
      <c r="M18" s="12"/>
      <c r="N18" s="12"/>
      <c r="O18" s="12"/>
      <c r="P18" s="12"/>
      <c r="Q18" s="12"/>
      <c r="R18" s="12"/>
      <c r="S18" s="12"/>
      <c r="T18" s="13"/>
      <c r="U18" s="12">
        <f t="shared" si="2"/>
        <v>76665</v>
      </c>
    </row>
    <row r="19" ht="15.75" customHeight="1" spans="2:21" x14ac:dyDescent="0.25">
      <c r="B19" s="12"/>
      <c r="C19" s="12">
        <v>9</v>
      </c>
      <c r="D19" s="12" t="s">
        <v>36</v>
      </c>
      <c r="E19" s="12" t="s">
        <v>37</v>
      </c>
      <c r="F19" s="12">
        <v>540</v>
      </c>
      <c r="G19" s="13"/>
      <c r="H19" s="12"/>
      <c r="I19" s="12"/>
      <c r="J19" s="12">
        <f t="shared" si="0"/>
        <v>0</v>
      </c>
      <c r="K19" s="12"/>
      <c r="L19" s="12">
        <v>540</v>
      </c>
      <c r="M19" s="12"/>
      <c r="N19" s="12"/>
      <c r="O19" s="12"/>
      <c r="P19" s="12"/>
      <c r="Q19" s="12"/>
      <c r="R19" s="12"/>
      <c r="S19" s="12"/>
      <c r="T19" s="13"/>
      <c r="U19" s="12">
        <f t="shared" si="2"/>
        <v>76125</v>
      </c>
    </row>
    <row r="20" ht="15.75" customHeight="1" spans="2:21" x14ac:dyDescent="0.25">
      <c r="B20" s="12"/>
      <c r="C20" s="12">
        <v>10</v>
      </c>
      <c r="D20" s="12" t="s">
        <v>38</v>
      </c>
      <c r="E20" s="12" t="s">
        <v>39</v>
      </c>
      <c r="F20" s="12">
        <v>460</v>
      </c>
      <c r="G20" s="13"/>
      <c r="H20" s="12"/>
      <c r="I20" s="12"/>
      <c r="J20" s="12">
        <f t="shared" si="0"/>
        <v>0</v>
      </c>
      <c r="K20" s="12"/>
      <c r="L20" s="12">
        <v>460</v>
      </c>
      <c r="M20" s="12"/>
      <c r="N20" s="12"/>
      <c r="O20" s="12"/>
      <c r="P20" s="12"/>
      <c r="Q20" s="12"/>
      <c r="R20" s="12"/>
      <c r="S20" s="12"/>
      <c r="T20" s="13"/>
      <c r="U20" s="12">
        <f t="shared" si="2"/>
        <v>75665</v>
      </c>
    </row>
    <row r="21" ht="15.75" customHeight="1" spans="2:21" x14ac:dyDescent="0.25">
      <c r="B21" s="12" t="s">
        <v>40</v>
      </c>
      <c r="C21" s="12">
        <v>11</v>
      </c>
      <c r="D21" s="12" t="s">
        <v>41</v>
      </c>
      <c r="E21" s="12" t="s">
        <v>42</v>
      </c>
      <c r="F21" s="12">
        <v>3920</v>
      </c>
      <c r="G21" s="13"/>
      <c r="H21" s="12">
        <v>49</v>
      </c>
      <c r="I21" s="12">
        <v>80</v>
      </c>
      <c r="J21" s="12">
        <f t="shared" si="0"/>
        <v>3920</v>
      </c>
      <c r="K21" s="12"/>
      <c r="L21" s="12"/>
      <c r="M21" s="12"/>
      <c r="N21" s="12"/>
      <c r="O21" s="12"/>
      <c r="P21" s="12"/>
      <c r="Q21" s="12"/>
      <c r="R21" s="12"/>
      <c r="S21" s="12"/>
      <c r="T21" s="13"/>
      <c r="U21" s="12">
        <f t="shared" si="2"/>
        <v>71745</v>
      </c>
    </row>
    <row r="22" ht="15.75" customHeight="1" spans="2:21" x14ac:dyDescent="0.25">
      <c r="B22" s="12" t="s">
        <v>43</v>
      </c>
      <c r="C22" s="12">
        <v>12</v>
      </c>
      <c r="D22" s="12" t="s">
        <v>44</v>
      </c>
      <c r="E22" s="12" t="s">
        <v>24</v>
      </c>
      <c r="F22" s="12">
        <v>3180</v>
      </c>
      <c r="G22" s="13"/>
      <c r="H22" s="12"/>
      <c r="I22" s="12"/>
      <c r="J22" s="12">
        <f t="shared" si="0"/>
        <v>0</v>
      </c>
      <c r="K22" s="12"/>
      <c r="L22" s="12"/>
      <c r="M22" s="12"/>
      <c r="N22" s="12"/>
      <c r="O22" s="12"/>
      <c r="P22" s="12"/>
      <c r="Q22" s="12">
        <v>3180</v>
      </c>
      <c r="R22" s="12"/>
      <c r="S22" s="12"/>
      <c r="T22" s="13"/>
      <c r="U22" s="12">
        <f t="shared" si="2"/>
        <v>68565</v>
      </c>
    </row>
    <row r="23" ht="15.75" customHeight="1" spans="2:21" x14ac:dyDescent="0.25">
      <c r="B23" s="12"/>
      <c r="C23" s="12"/>
      <c r="D23" s="12" t="s">
        <v>45</v>
      </c>
      <c r="E23" s="12"/>
      <c r="F23" s="12"/>
      <c r="G23" s="13"/>
      <c r="H23" s="12"/>
      <c r="I23" s="12"/>
      <c r="J23" s="12">
        <f t="shared" si="0"/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3"/>
      <c r="U23" s="12">
        <f>68565+930</f>
        <v>69495</v>
      </c>
    </row>
    <row r="24" ht="15.75" customHeight="1" spans="2:21" x14ac:dyDescent="0.25">
      <c r="B24" s="12" t="s">
        <v>46</v>
      </c>
      <c r="C24" s="12">
        <v>13</v>
      </c>
      <c r="D24" s="12" t="s">
        <v>47</v>
      </c>
      <c r="E24" s="12" t="s">
        <v>24</v>
      </c>
      <c r="F24" s="12">
        <v>2850</v>
      </c>
      <c r="G24" s="13"/>
      <c r="H24" s="12"/>
      <c r="I24" s="12"/>
      <c r="J24" s="12">
        <f t="shared" si="0"/>
        <v>0</v>
      </c>
      <c r="K24" s="12"/>
      <c r="L24" s="12"/>
      <c r="M24" s="12"/>
      <c r="N24" s="12"/>
      <c r="O24" s="12"/>
      <c r="P24" s="12"/>
      <c r="Q24" s="12">
        <v>2850</v>
      </c>
      <c r="R24" s="12"/>
      <c r="S24" s="12"/>
      <c r="T24" s="13"/>
      <c r="U24" s="12">
        <f t="shared" ref="U24:U28" si="3">U23-F24</f>
        <v>66645</v>
      </c>
    </row>
    <row r="25" ht="15.75" customHeight="1" spans="2:21" x14ac:dyDescent="0.25">
      <c r="B25" s="12"/>
      <c r="C25" s="12">
        <v>14</v>
      </c>
      <c r="D25" s="12" t="s">
        <v>48</v>
      </c>
      <c r="E25" s="12" t="s">
        <v>26</v>
      </c>
      <c r="F25" s="12">
        <v>950</v>
      </c>
      <c r="G25" s="13"/>
      <c r="H25" s="12"/>
      <c r="I25" s="12"/>
      <c r="J25" s="12">
        <f t="shared" si="0"/>
        <v>0</v>
      </c>
      <c r="K25" s="12"/>
      <c r="L25" s="12"/>
      <c r="M25" s="12"/>
      <c r="N25" s="12"/>
      <c r="O25" s="12"/>
      <c r="P25" s="12">
        <v>950</v>
      </c>
      <c r="Q25" s="12"/>
      <c r="R25" s="12"/>
      <c r="S25" s="12"/>
      <c r="T25" s="13"/>
      <c r="U25" s="12">
        <f t="shared" si="3"/>
        <v>65695</v>
      </c>
    </row>
    <row r="26" ht="15.75" customHeight="1" spans="2:21" x14ac:dyDescent="0.25">
      <c r="B26" s="12"/>
      <c r="C26" s="12"/>
      <c r="D26" s="12" t="s">
        <v>49</v>
      </c>
      <c r="E26" s="12"/>
      <c r="F26" s="12"/>
      <c r="G26" s="13"/>
      <c r="H26" s="12"/>
      <c r="I26" s="12"/>
      <c r="J26" s="12">
        <f t="shared" si="0"/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3"/>
      <c r="U26" s="12">
        <f t="shared" si="3"/>
        <v>65695</v>
      </c>
    </row>
    <row r="27" ht="15.75" customHeight="1" spans="2:21" x14ac:dyDescent="0.25">
      <c r="B27" s="12"/>
      <c r="C27" s="12"/>
      <c r="D27" s="12"/>
      <c r="E27" s="12"/>
      <c r="F27" s="12"/>
      <c r="G27" s="13"/>
      <c r="H27" s="12"/>
      <c r="I27" s="12"/>
      <c r="J27" s="12">
        <f t="shared" si="0"/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3"/>
      <c r="U27" s="12">
        <f t="shared" si="3"/>
        <v>65695</v>
      </c>
    </row>
    <row r="28" ht="15.75" customHeight="1" spans="2:21" x14ac:dyDescent="0.25">
      <c r="B28" s="12"/>
      <c r="C28" s="12"/>
      <c r="D28" s="12"/>
      <c r="E28" s="12"/>
      <c r="F28" s="12"/>
      <c r="G28" s="13"/>
      <c r="H28" s="12"/>
      <c r="I28" s="12"/>
      <c r="J28" s="12">
        <f t="shared" si="0"/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3"/>
      <c r="U28" s="12">
        <f t="shared" si="3"/>
        <v>65695</v>
      </c>
    </row>
    <row r="29" ht="15.75" customHeight="1" spans="2:21" x14ac:dyDescent="0.25">
      <c r="B29" s="12"/>
      <c r="C29" s="12"/>
      <c r="D29" s="12"/>
      <c r="E29" s="12"/>
      <c r="F29" s="12"/>
      <c r="G29" s="13"/>
      <c r="H29" s="12"/>
      <c r="I29" s="12"/>
      <c r="J29" s="12">
        <f t="shared" si="0"/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3"/>
      <c r="U29" s="12"/>
    </row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H6:J6"/>
    <mergeCell ref="B6:B7"/>
    <mergeCell ref="C6:C7"/>
    <mergeCell ref="D6:D7"/>
    <mergeCell ref="E6:E7"/>
    <mergeCell ref="F6:F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U6:U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8" topLeftCell="A9" activePane="bottomLeft" state="frozen"/>
      <selection pane="bottomLeft" activeCell="B10" sqref="B10"/>
    </sheetView>
  </sheetViews>
  <sheetFormatPr defaultRowHeight="15" outlineLevelRow="0" outlineLevelCol="0" x14ac:dyDescent="0.25" defaultColWidth="12.6640625"/>
  <cols>
    <col min="1" max="1" width="12.6640625" customWidth="1"/>
    <col min="2" max="2" width="9.77734375" customWidth="1"/>
    <col min="3" max="3" width="6.33203125" customWidth="1"/>
    <col min="4" max="4" width="38.44140625" customWidth="1"/>
    <col min="5" max="5" width="18" customWidth="1"/>
    <col min="6" max="6" width="10.33203125" customWidth="1"/>
    <col min="7" max="7" width="4.88671875" customWidth="1"/>
    <col min="8" max="8" width="6.44140625" customWidth="1"/>
    <col min="9" max="9" width="7.6640625" customWidth="1"/>
    <col min="10" max="10" width="8" customWidth="1"/>
    <col min="11" max="12" width="8.77734375" customWidth="1"/>
    <col min="13" max="13" width="6.44140625" customWidth="1"/>
    <col min="14" max="14" width="6.33203125" customWidth="1"/>
    <col min="15" max="15" width="10.6640625" customWidth="1"/>
    <col min="16" max="16" width="9.6640625" customWidth="1"/>
    <col min="17" max="17" width="10.33203125" customWidth="1"/>
    <col min="18" max="18" width="6.88671875" customWidth="1"/>
    <col min="19" max="19" width="8" customWidth="1"/>
    <col min="20" max="20" width="6.44140625" customWidth="1"/>
  </cols>
  <sheetData>
    <row r="1" ht="15.75" customHeight="1" spans="7:20" x14ac:dyDescent="0.25">
      <c r="G1" s="14"/>
      <c r="T1" s="14"/>
    </row>
    <row r="2" ht="15.75" customHeight="1" spans="7:20" x14ac:dyDescent="0.25">
      <c r="G2" s="14"/>
      <c r="T2" s="14"/>
    </row>
    <row r="3" ht="15.75" customHeight="1" spans="7:20" x14ac:dyDescent="0.25">
      <c r="G3" s="14"/>
      <c r="T3" s="14"/>
    </row>
    <row r="4" ht="15.75" customHeight="1" spans="7:20" x14ac:dyDescent="0.25">
      <c r="G4" s="14"/>
      <c r="T4" s="14"/>
    </row>
    <row r="5" ht="15.75" customHeight="1" spans="7:20" x14ac:dyDescent="0.25">
      <c r="G5" s="14"/>
      <c r="T5" s="14"/>
    </row>
    <row r="6" ht="15.75" customHeight="1" spans="1:26" x14ac:dyDescent="0.25">
      <c r="A6" s="2"/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4"/>
      <c r="H6" s="5" t="s">
        <v>5</v>
      </c>
      <c r="I6" s="6"/>
      <c r="J6" s="7"/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12</v>
      </c>
      <c r="R6" s="3" t="s">
        <v>13</v>
      </c>
      <c r="S6" s="3" t="s">
        <v>14</v>
      </c>
      <c r="T6" s="4"/>
      <c r="U6" s="3" t="s">
        <v>15</v>
      </c>
      <c r="V6" s="2"/>
      <c r="W6" s="2"/>
      <c r="X6" s="2"/>
      <c r="Y6" s="2"/>
      <c r="Z6" s="2"/>
    </row>
    <row r="7" ht="15.75" customHeight="1" spans="1:26" x14ac:dyDescent="0.25">
      <c r="A7" s="8"/>
      <c r="B7" s="9"/>
      <c r="C7" s="9"/>
      <c r="D7" s="9"/>
      <c r="E7" s="9"/>
      <c r="F7" s="9"/>
      <c r="G7" s="10"/>
      <c r="H7" s="11" t="s">
        <v>16</v>
      </c>
      <c r="I7" s="11" t="s">
        <v>17</v>
      </c>
      <c r="J7" s="11" t="s">
        <v>18</v>
      </c>
      <c r="K7" s="9"/>
      <c r="L7" s="9"/>
      <c r="M7" s="9"/>
      <c r="N7" s="9"/>
      <c r="O7" s="9"/>
      <c r="P7" s="9"/>
      <c r="Q7" s="9"/>
      <c r="R7" s="9"/>
      <c r="S7" s="9"/>
      <c r="T7" s="10"/>
      <c r="U7" s="9"/>
      <c r="V7" s="8"/>
      <c r="W7" s="8"/>
      <c r="X7" s="8"/>
      <c r="Y7" s="8"/>
      <c r="Z7" s="8"/>
    </row>
    <row r="8" ht="15.75" customHeight="1" spans="2:21" x14ac:dyDescent="0.25">
      <c r="B8" s="12" t="s">
        <v>50</v>
      </c>
      <c r="C8" s="12"/>
      <c r="D8" s="12" t="s">
        <v>51</v>
      </c>
      <c r="E8" s="12"/>
      <c r="F8" s="12"/>
      <c r="G8" s="13"/>
      <c r="H8" s="12"/>
      <c r="I8" s="12"/>
      <c r="J8" s="12">
        <f t="shared" ref="J8:J42" si="0">H8*I8</f>
        <v>0</v>
      </c>
      <c r="K8" s="12"/>
      <c r="L8" s="12"/>
      <c r="M8" s="12"/>
      <c r="N8" s="12"/>
      <c r="O8" s="12"/>
      <c r="P8" s="12"/>
      <c r="Q8" s="12"/>
      <c r="R8" s="12"/>
      <c r="S8" s="12"/>
      <c r="T8" s="13"/>
      <c r="U8" s="12">
        <v>65695</v>
      </c>
    </row>
    <row r="9" ht="15.75" customHeight="1" spans="2:21" x14ac:dyDescent="0.25">
      <c r="B9" s="12"/>
      <c r="C9" s="12">
        <v>15</v>
      </c>
      <c r="D9" s="12" t="s">
        <v>41</v>
      </c>
      <c r="E9" s="12" t="s">
        <v>52</v>
      </c>
      <c r="F9" s="12">
        <v>2000</v>
      </c>
      <c r="G9" s="13"/>
      <c r="H9" s="12">
        <v>25</v>
      </c>
      <c r="I9" s="12">
        <v>80</v>
      </c>
      <c r="J9" s="12">
        <f t="shared" si="0"/>
        <v>2000</v>
      </c>
      <c r="K9" s="12"/>
      <c r="L9" s="12"/>
      <c r="M9" s="12"/>
      <c r="N9" s="12"/>
      <c r="O9" s="12"/>
      <c r="P9" s="12"/>
      <c r="Q9" s="12"/>
      <c r="R9" s="12"/>
      <c r="S9" s="12"/>
      <c r="T9" s="13"/>
      <c r="U9" s="12">
        <f t="shared" ref="U9:U25" si="1">U8-F9</f>
        <v>63695</v>
      </c>
    </row>
    <row r="10" ht="15.75" customHeight="1" spans="2:21" x14ac:dyDescent="0.25">
      <c r="B10" s="12"/>
      <c r="C10" s="12">
        <v>16</v>
      </c>
      <c r="D10" s="12" t="s">
        <v>41</v>
      </c>
      <c r="E10" s="12" t="s">
        <v>53</v>
      </c>
      <c r="F10" s="12">
        <v>1600</v>
      </c>
      <c r="G10" s="13"/>
      <c r="H10" s="12">
        <v>20</v>
      </c>
      <c r="I10" s="12">
        <v>80</v>
      </c>
      <c r="J10" s="12">
        <f t="shared" si="0"/>
        <v>1600</v>
      </c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2">
        <f t="shared" si="1"/>
        <v>62095</v>
      </c>
    </row>
    <row r="11" ht="15.75" customHeight="1" spans="2:21" x14ac:dyDescent="0.25">
      <c r="B11" s="12"/>
      <c r="C11" s="12">
        <v>17</v>
      </c>
      <c r="D11" s="12" t="s">
        <v>41</v>
      </c>
      <c r="E11" s="12" t="s">
        <v>54</v>
      </c>
      <c r="F11" s="12">
        <v>6880</v>
      </c>
      <c r="G11" s="13"/>
      <c r="H11" s="12">
        <v>86</v>
      </c>
      <c r="I11" s="12">
        <v>80</v>
      </c>
      <c r="J11" s="12">
        <f t="shared" si="0"/>
        <v>6880</v>
      </c>
      <c r="K11" s="12"/>
      <c r="L11" s="12"/>
      <c r="M11" s="12"/>
      <c r="N11" s="12"/>
      <c r="O11" s="12"/>
      <c r="P11" s="12"/>
      <c r="Q11" s="12"/>
      <c r="R11" s="12"/>
      <c r="S11" s="12"/>
      <c r="T11" s="13"/>
      <c r="U11" s="12">
        <f t="shared" si="1"/>
        <v>55215</v>
      </c>
    </row>
    <row r="12" ht="15.75" customHeight="1" spans="2:21" x14ac:dyDescent="0.25">
      <c r="B12" s="12"/>
      <c r="C12" s="12">
        <v>18</v>
      </c>
      <c r="D12" s="12" t="s">
        <v>55</v>
      </c>
      <c r="E12" s="12" t="s">
        <v>56</v>
      </c>
      <c r="F12" s="12">
        <v>1000</v>
      </c>
      <c r="G12" s="13"/>
      <c r="H12" s="12"/>
      <c r="I12" s="12"/>
      <c r="J12" s="12">
        <f t="shared" si="0"/>
        <v>0</v>
      </c>
      <c r="K12" s="12"/>
      <c r="L12" s="12"/>
      <c r="M12" s="12"/>
      <c r="N12" s="12">
        <v>1000</v>
      </c>
      <c r="O12" s="12"/>
      <c r="P12" s="12"/>
      <c r="Q12" s="12"/>
      <c r="R12" s="12"/>
      <c r="S12" s="12"/>
      <c r="T12" s="13"/>
      <c r="U12" s="12">
        <f t="shared" si="1"/>
        <v>54215</v>
      </c>
    </row>
    <row r="13" ht="15.75" customHeight="1" spans="2:21" x14ac:dyDescent="0.25">
      <c r="B13" s="12"/>
      <c r="C13" s="12">
        <v>19</v>
      </c>
      <c r="D13" s="12" t="s">
        <v>57</v>
      </c>
      <c r="E13" s="12" t="s">
        <v>58</v>
      </c>
      <c r="F13" s="12">
        <v>160</v>
      </c>
      <c r="G13" s="13"/>
      <c r="H13" s="12"/>
      <c r="I13" s="12"/>
      <c r="J13" s="12">
        <f t="shared" si="0"/>
        <v>0</v>
      </c>
      <c r="K13" s="12"/>
      <c r="L13" s="12"/>
      <c r="M13" s="12"/>
      <c r="N13" s="12"/>
      <c r="O13" s="12"/>
      <c r="P13" s="12"/>
      <c r="Q13" s="12">
        <v>160</v>
      </c>
      <c r="R13" s="12"/>
      <c r="S13" s="12"/>
      <c r="T13" s="13"/>
      <c r="U13" s="12">
        <f t="shared" si="1"/>
        <v>54055</v>
      </c>
    </row>
    <row r="14" ht="15.75" customHeight="1" spans="2:21" x14ac:dyDescent="0.25">
      <c r="B14" s="12" t="s">
        <v>59</v>
      </c>
      <c r="C14" s="12">
        <v>20</v>
      </c>
      <c r="D14" s="12" t="s">
        <v>41</v>
      </c>
      <c r="E14" s="12" t="s">
        <v>60</v>
      </c>
      <c r="F14" s="12">
        <v>1280</v>
      </c>
      <c r="G14" s="13"/>
      <c r="H14" s="12">
        <v>16</v>
      </c>
      <c r="I14" s="12">
        <v>80</v>
      </c>
      <c r="J14" s="12">
        <f t="shared" si="0"/>
        <v>1280</v>
      </c>
      <c r="K14" s="12"/>
      <c r="L14" s="12"/>
      <c r="M14" s="12"/>
      <c r="N14" s="12"/>
      <c r="O14" s="12"/>
      <c r="P14" s="12"/>
      <c r="Q14" s="12"/>
      <c r="R14" s="12"/>
      <c r="S14" s="12"/>
      <c r="T14" s="13"/>
      <c r="U14" s="12">
        <f t="shared" si="1"/>
        <v>52775</v>
      </c>
    </row>
    <row r="15" ht="15.75" customHeight="1" spans="2:21" x14ac:dyDescent="0.25">
      <c r="B15" s="12"/>
      <c r="C15" s="12">
        <v>21</v>
      </c>
      <c r="D15" s="12" t="s">
        <v>41</v>
      </c>
      <c r="E15" s="12" t="s">
        <v>54</v>
      </c>
      <c r="F15" s="12">
        <v>1520</v>
      </c>
      <c r="G15" s="13"/>
      <c r="H15" s="12">
        <v>19</v>
      </c>
      <c r="I15" s="12">
        <v>80</v>
      </c>
      <c r="J15" s="12">
        <f t="shared" si="0"/>
        <v>1520</v>
      </c>
      <c r="K15" s="12"/>
      <c r="L15" s="12"/>
      <c r="M15" s="12"/>
      <c r="N15" s="12"/>
      <c r="O15" s="12"/>
      <c r="P15" s="12"/>
      <c r="Q15" s="12"/>
      <c r="R15" s="12"/>
      <c r="S15" s="12"/>
      <c r="T15" s="13"/>
      <c r="U15" s="12">
        <f t="shared" si="1"/>
        <v>51255</v>
      </c>
    </row>
    <row r="16" ht="15.75" customHeight="1" spans="2:21" x14ac:dyDescent="0.25">
      <c r="B16" s="12"/>
      <c r="C16" s="12">
        <v>22</v>
      </c>
      <c r="D16" s="12" t="s">
        <v>61</v>
      </c>
      <c r="E16" s="12" t="s">
        <v>28</v>
      </c>
      <c r="F16" s="12">
        <v>760</v>
      </c>
      <c r="G16" s="13"/>
      <c r="H16" s="12"/>
      <c r="I16" s="12"/>
      <c r="J16" s="12">
        <f t="shared" si="0"/>
        <v>0</v>
      </c>
      <c r="K16" s="12"/>
      <c r="L16" s="12"/>
      <c r="M16" s="12">
        <v>760</v>
      </c>
      <c r="N16" s="12"/>
      <c r="O16" s="12"/>
      <c r="P16" s="12"/>
      <c r="Q16" s="12"/>
      <c r="R16" s="12"/>
      <c r="S16" s="12"/>
      <c r="T16" s="13"/>
      <c r="U16" s="12">
        <f t="shared" si="1"/>
        <v>50495</v>
      </c>
    </row>
    <row r="17" ht="15.75" customHeight="1" spans="2:21" x14ac:dyDescent="0.25">
      <c r="B17" s="12" t="s">
        <v>62</v>
      </c>
      <c r="C17" s="12">
        <v>23</v>
      </c>
      <c r="D17" s="12" t="s">
        <v>41</v>
      </c>
      <c r="E17" s="12" t="s">
        <v>53</v>
      </c>
      <c r="F17" s="12">
        <v>720</v>
      </c>
      <c r="G17" s="13"/>
      <c r="H17" s="12">
        <v>9</v>
      </c>
      <c r="I17" s="12">
        <v>80</v>
      </c>
      <c r="J17" s="12">
        <f t="shared" si="0"/>
        <v>720</v>
      </c>
      <c r="K17" s="12"/>
      <c r="L17" s="12"/>
      <c r="M17" s="12"/>
      <c r="N17" s="12"/>
      <c r="O17" s="12"/>
      <c r="P17" s="12"/>
      <c r="Q17" s="12"/>
      <c r="R17" s="12"/>
      <c r="S17" s="12"/>
      <c r="T17" s="13"/>
      <c r="U17" s="12">
        <f t="shared" si="1"/>
        <v>49775</v>
      </c>
    </row>
    <row r="18" ht="15.75" customHeight="1" spans="2:21" x14ac:dyDescent="0.25">
      <c r="B18" s="12"/>
      <c r="C18" s="12">
        <v>24</v>
      </c>
      <c r="D18" s="12" t="s">
        <v>41</v>
      </c>
      <c r="E18" s="12" t="s">
        <v>54</v>
      </c>
      <c r="F18" s="12">
        <v>11360</v>
      </c>
      <c r="G18" s="13"/>
      <c r="H18" s="12">
        <v>142</v>
      </c>
      <c r="I18" s="12">
        <v>80</v>
      </c>
      <c r="J18" s="12">
        <f t="shared" si="0"/>
        <v>11360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  <c r="U18" s="12">
        <f t="shared" si="1"/>
        <v>38415</v>
      </c>
    </row>
    <row r="19" ht="15.75" customHeight="1" spans="2:21" x14ac:dyDescent="0.25">
      <c r="B19" s="12" t="s">
        <v>63</v>
      </c>
      <c r="C19" s="12">
        <v>25</v>
      </c>
      <c r="D19" s="12" t="s">
        <v>41</v>
      </c>
      <c r="E19" s="12" t="s">
        <v>54</v>
      </c>
      <c r="F19" s="12">
        <v>10480</v>
      </c>
      <c r="G19" s="13"/>
      <c r="H19" s="12">
        <v>131</v>
      </c>
      <c r="I19" s="12">
        <v>80</v>
      </c>
      <c r="J19" s="12">
        <f t="shared" si="0"/>
        <v>10480</v>
      </c>
      <c r="K19" s="12"/>
      <c r="L19" s="12"/>
      <c r="M19" s="12"/>
      <c r="N19" s="12"/>
      <c r="O19" s="12"/>
      <c r="P19" s="12"/>
      <c r="Q19" s="12"/>
      <c r="R19" s="12"/>
      <c r="S19" s="12"/>
      <c r="T19" s="13"/>
      <c r="U19" s="12">
        <f t="shared" si="1"/>
        <v>27935</v>
      </c>
    </row>
    <row r="20" ht="15.75" customHeight="1" spans="2:21" x14ac:dyDescent="0.25">
      <c r="B20" s="12"/>
      <c r="C20" s="12">
        <v>26</v>
      </c>
      <c r="D20" s="12" t="s">
        <v>13</v>
      </c>
      <c r="E20" s="12" t="s">
        <v>64</v>
      </c>
      <c r="F20" s="12">
        <v>2500</v>
      </c>
      <c r="G20" s="13"/>
      <c r="H20" s="12"/>
      <c r="I20" s="12"/>
      <c r="J20" s="12">
        <f t="shared" si="0"/>
        <v>0</v>
      </c>
      <c r="K20" s="12"/>
      <c r="L20" s="12"/>
      <c r="M20" s="12"/>
      <c r="N20" s="12"/>
      <c r="O20" s="12"/>
      <c r="P20" s="12"/>
      <c r="Q20" s="12"/>
      <c r="R20" s="12">
        <v>2500</v>
      </c>
      <c r="S20" s="12"/>
      <c r="T20" s="13"/>
      <c r="U20" s="12">
        <f t="shared" si="1"/>
        <v>25435</v>
      </c>
    </row>
    <row r="21" ht="15.75" customHeight="1" spans="2:21" x14ac:dyDescent="0.25">
      <c r="B21" s="12"/>
      <c r="C21" s="12">
        <v>27</v>
      </c>
      <c r="D21" s="12" t="s">
        <v>65</v>
      </c>
      <c r="E21" s="12"/>
      <c r="F21" s="12">
        <v>360</v>
      </c>
      <c r="G21" s="13"/>
      <c r="H21" s="12">
        <v>49</v>
      </c>
      <c r="I21" s="12">
        <v>80</v>
      </c>
      <c r="J21" s="12">
        <f t="shared" si="0"/>
        <v>3920</v>
      </c>
      <c r="K21" s="12"/>
      <c r="L21" s="12"/>
      <c r="M21" s="12"/>
      <c r="N21" s="12"/>
      <c r="O21" s="12"/>
      <c r="P21" s="12"/>
      <c r="Q21" s="12">
        <v>360</v>
      </c>
      <c r="R21" s="12"/>
      <c r="S21" s="12"/>
      <c r="T21" s="13"/>
      <c r="U21" s="12">
        <f t="shared" si="1"/>
        <v>25075</v>
      </c>
    </row>
    <row r="22" ht="15.75" customHeight="1" spans="2:21" x14ac:dyDescent="0.25">
      <c r="B22" s="12"/>
      <c r="C22" s="12">
        <v>28</v>
      </c>
      <c r="D22" s="12" t="s">
        <v>66</v>
      </c>
      <c r="E22" s="12" t="s">
        <v>67</v>
      </c>
      <c r="F22" s="12">
        <v>1200</v>
      </c>
      <c r="G22" s="13"/>
      <c r="H22" s="12"/>
      <c r="I22" s="12"/>
      <c r="J22" s="12">
        <f t="shared" si="0"/>
        <v>0</v>
      </c>
      <c r="K22" s="12"/>
      <c r="L22" s="12"/>
      <c r="M22" s="12"/>
      <c r="N22" s="12"/>
      <c r="O22" s="12"/>
      <c r="P22" s="12"/>
      <c r="Q22" s="12">
        <v>1200</v>
      </c>
      <c r="R22" s="12"/>
      <c r="S22" s="12"/>
      <c r="T22" s="13"/>
      <c r="U22" s="12">
        <f t="shared" si="1"/>
        <v>23875</v>
      </c>
    </row>
    <row r="23" ht="15.75" customHeight="1" spans="2:21" x14ac:dyDescent="0.25">
      <c r="B23" s="12" t="s">
        <v>68</v>
      </c>
      <c r="C23" s="12">
        <v>29</v>
      </c>
      <c r="D23" s="12" t="s">
        <v>41</v>
      </c>
      <c r="E23" s="12" t="s">
        <v>69</v>
      </c>
      <c r="F23" s="12">
        <v>1440</v>
      </c>
      <c r="G23" s="13"/>
      <c r="H23" s="12">
        <v>18</v>
      </c>
      <c r="I23" s="12">
        <v>80</v>
      </c>
      <c r="J23" s="12">
        <f t="shared" si="0"/>
        <v>1440</v>
      </c>
      <c r="K23" s="12"/>
      <c r="L23" s="12"/>
      <c r="M23" s="12"/>
      <c r="N23" s="12"/>
      <c r="O23" s="12"/>
      <c r="P23" s="12"/>
      <c r="Q23" s="12"/>
      <c r="R23" s="12"/>
      <c r="S23" s="12"/>
      <c r="T23" s="13"/>
      <c r="U23" s="12">
        <f t="shared" si="1"/>
        <v>22435</v>
      </c>
    </row>
    <row r="24" ht="15.75" customHeight="1" spans="2:21" x14ac:dyDescent="0.25">
      <c r="B24" s="12"/>
      <c r="C24" s="12">
        <v>30</v>
      </c>
      <c r="D24" s="12" t="s">
        <v>41</v>
      </c>
      <c r="E24" s="12" t="s">
        <v>70</v>
      </c>
      <c r="F24" s="12">
        <v>4800</v>
      </c>
      <c r="G24" s="13"/>
      <c r="H24" s="12">
        <v>60</v>
      </c>
      <c r="I24" s="12">
        <v>80</v>
      </c>
      <c r="J24" s="12">
        <f t="shared" si="0"/>
        <v>4800</v>
      </c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12">
        <f t="shared" si="1"/>
        <v>17635</v>
      </c>
    </row>
    <row r="25" ht="15.75" customHeight="1" spans="2:21" x14ac:dyDescent="0.25">
      <c r="B25" s="12"/>
      <c r="C25" s="12">
        <v>31</v>
      </c>
      <c r="D25" s="12" t="s">
        <v>71</v>
      </c>
      <c r="E25" s="12" t="s">
        <v>72</v>
      </c>
      <c r="F25" s="12">
        <v>5000</v>
      </c>
      <c r="G25" s="13"/>
      <c r="H25" s="12"/>
      <c r="I25" s="12"/>
      <c r="J25" s="12">
        <f t="shared" si="0"/>
        <v>0</v>
      </c>
      <c r="K25" s="12"/>
      <c r="L25" s="12">
        <v>5000</v>
      </c>
      <c r="M25" s="12"/>
      <c r="N25" s="12"/>
      <c r="O25" s="12"/>
      <c r="P25" s="12"/>
      <c r="Q25" s="12"/>
      <c r="R25" s="12"/>
      <c r="S25" s="12"/>
      <c r="T25" s="13"/>
      <c r="U25" s="12">
        <f t="shared" si="1"/>
        <v>12635</v>
      </c>
    </row>
    <row r="26" ht="15.75" customHeight="1" spans="2:21" x14ac:dyDescent="0.25">
      <c r="B26" s="12" t="s">
        <v>73</v>
      </c>
      <c r="C26" s="12"/>
      <c r="D26" s="15" t="s">
        <v>74</v>
      </c>
      <c r="E26" s="12"/>
      <c r="F26" s="12"/>
      <c r="G26" s="13"/>
      <c r="H26" s="12"/>
      <c r="I26" s="12"/>
      <c r="J26" s="12">
        <f t="shared" si="0"/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3"/>
      <c r="U26" s="12">
        <f>U25-F26+35000</f>
        <v>47635</v>
      </c>
    </row>
    <row r="27" ht="15.75" customHeight="1" spans="2:21" x14ac:dyDescent="0.25">
      <c r="B27" s="12"/>
      <c r="C27" s="12">
        <v>32</v>
      </c>
      <c r="D27" s="16" t="s">
        <v>75</v>
      </c>
      <c r="F27" s="12"/>
      <c r="G27" s="13"/>
      <c r="H27" s="12"/>
      <c r="I27" s="12"/>
      <c r="J27" s="12">
        <f t="shared" si="0"/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3"/>
      <c r="U27" s="12">
        <f t="shared" ref="U27:U36" si="2">U26-F27</f>
        <v>47635</v>
      </c>
    </row>
    <row r="28" ht="15.75" customHeight="1" spans="2:21" x14ac:dyDescent="0.25">
      <c r="B28" s="12"/>
      <c r="C28" s="12">
        <v>32</v>
      </c>
      <c r="D28" s="16" t="s">
        <v>9</v>
      </c>
      <c r="E28" s="15" t="s">
        <v>56</v>
      </c>
      <c r="F28" s="17">
        <v>25000</v>
      </c>
      <c r="G28" s="13"/>
      <c r="H28" s="12"/>
      <c r="I28" s="12"/>
      <c r="J28" s="12">
        <f t="shared" si="0"/>
        <v>0</v>
      </c>
      <c r="K28" s="12"/>
      <c r="L28" s="12">
        <v>25000</v>
      </c>
      <c r="M28" s="12"/>
      <c r="N28" s="12"/>
      <c r="O28" s="12"/>
      <c r="P28" s="12"/>
      <c r="Q28" s="12"/>
      <c r="R28" s="12"/>
      <c r="S28" s="12"/>
      <c r="T28" s="13"/>
      <c r="U28" s="18">
        <f t="shared" si="2"/>
        <v>22635</v>
      </c>
    </row>
    <row r="29" ht="15.75" customHeight="1" spans="2:21" x14ac:dyDescent="0.25">
      <c r="B29" s="12"/>
      <c r="C29" s="12">
        <v>33</v>
      </c>
      <c r="D29" s="16" t="s">
        <v>76</v>
      </c>
      <c r="E29" s="16" t="s">
        <v>77</v>
      </c>
      <c r="F29" s="19">
        <v>1550</v>
      </c>
      <c r="G29" s="13"/>
      <c r="H29" s="12"/>
      <c r="I29" s="12"/>
      <c r="J29" s="12">
        <f t="shared" si="0"/>
        <v>0</v>
      </c>
      <c r="K29" s="12"/>
      <c r="L29" s="12">
        <v>1550</v>
      </c>
      <c r="M29" s="12"/>
      <c r="N29" s="12"/>
      <c r="O29" s="12"/>
      <c r="P29" s="12"/>
      <c r="Q29" s="12"/>
      <c r="R29" s="12"/>
      <c r="S29" s="12"/>
      <c r="T29" s="13"/>
      <c r="U29" s="18">
        <f t="shared" si="2"/>
        <v>21085</v>
      </c>
    </row>
    <row r="30" ht="15.75" customHeight="1" spans="2:21" x14ac:dyDescent="0.25">
      <c r="B30" s="12"/>
      <c r="C30" s="12">
        <v>34</v>
      </c>
      <c r="D30" s="16" t="s">
        <v>78</v>
      </c>
      <c r="E30" s="16" t="s">
        <v>79</v>
      </c>
      <c r="F30" s="20">
        <v>800</v>
      </c>
      <c r="G30" s="13"/>
      <c r="H30" s="12"/>
      <c r="I30" s="12"/>
      <c r="J30" s="12">
        <f t="shared" si="0"/>
        <v>0</v>
      </c>
      <c r="K30" s="12"/>
      <c r="L30" s="12">
        <v>800</v>
      </c>
      <c r="M30" s="12"/>
      <c r="N30" s="12"/>
      <c r="O30" s="12"/>
      <c r="P30" s="12"/>
      <c r="Q30" s="12"/>
      <c r="R30" s="12"/>
      <c r="S30" s="12"/>
      <c r="T30" s="13"/>
      <c r="U30" s="18">
        <f t="shared" si="2"/>
        <v>20285</v>
      </c>
    </row>
    <row r="31" ht="15.75" customHeight="1" spans="2:21" x14ac:dyDescent="0.25">
      <c r="B31" s="12"/>
      <c r="C31" s="12">
        <v>35</v>
      </c>
      <c r="D31" s="16" t="s">
        <v>36</v>
      </c>
      <c r="E31" s="16" t="s">
        <v>80</v>
      </c>
      <c r="F31" s="20">
        <v>520</v>
      </c>
      <c r="G31" s="13"/>
      <c r="H31" s="12"/>
      <c r="I31" s="12"/>
      <c r="J31" s="12">
        <f t="shared" si="0"/>
        <v>0</v>
      </c>
      <c r="K31" s="12"/>
      <c r="L31" s="12">
        <v>520</v>
      </c>
      <c r="M31" s="12"/>
      <c r="N31" s="12"/>
      <c r="O31" s="12"/>
      <c r="P31" s="12"/>
      <c r="Q31" s="12"/>
      <c r="R31" s="12"/>
      <c r="S31" s="12"/>
      <c r="T31" s="13"/>
      <c r="U31" s="18">
        <f t="shared" si="2"/>
        <v>19765</v>
      </c>
    </row>
    <row r="32" ht="15.75" customHeight="1" spans="2:21" x14ac:dyDescent="0.25">
      <c r="B32" s="12"/>
      <c r="C32" s="12">
        <v>36</v>
      </c>
      <c r="D32" s="16" t="s">
        <v>81</v>
      </c>
      <c r="E32" s="16" t="s">
        <v>82</v>
      </c>
      <c r="F32" s="20">
        <v>750</v>
      </c>
      <c r="G32" s="13"/>
      <c r="H32" s="12"/>
      <c r="I32" s="12"/>
      <c r="J32" s="12">
        <f t="shared" si="0"/>
        <v>0</v>
      </c>
      <c r="K32" s="12"/>
      <c r="L32" s="12">
        <v>750</v>
      </c>
      <c r="M32" s="12"/>
      <c r="N32" s="12"/>
      <c r="O32" s="12"/>
      <c r="P32" s="12"/>
      <c r="Q32" s="12"/>
      <c r="R32" s="12"/>
      <c r="S32" s="12"/>
      <c r="T32" s="13"/>
      <c r="U32" s="18">
        <f t="shared" si="2"/>
        <v>19015</v>
      </c>
    </row>
    <row r="33" ht="15.75" customHeight="1" spans="2:21" x14ac:dyDescent="0.25">
      <c r="B33" s="12"/>
      <c r="C33" s="12">
        <v>37</v>
      </c>
      <c r="D33" s="16" t="s">
        <v>83</v>
      </c>
      <c r="E33" s="16" t="s">
        <v>84</v>
      </c>
      <c r="F33" s="20">
        <v>300</v>
      </c>
      <c r="G33" s="13"/>
      <c r="H33" s="12"/>
      <c r="I33" s="12"/>
      <c r="J33" s="12">
        <f t="shared" si="0"/>
        <v>0</v>
      </c>
      <c r="K33" s="12"/>
      <c r="L33" s="12">
        <v>300</v>
      </c>
      <c r="M33" s="12"/>
      <c r="N33" s="12"/>
      <c r="O33" s="12"/>
      <c r="P33" s="12"/>
      <c r="Q33" s="12"/>
      <c r="R33" s="12"/>
      <c r="S33" s="12"/>
      <c r="T33" s="13"/>
      <c r="U33" s="18">
        <f t="shared" si="2"/>
        <v>18715</v>
      </c>
    </row>
    <row r="34" ht="15.75" customHeight="1" spans="2:21" x14ac:dyDescent="0.25">
      <c r="B34" s="12"/>
      <c r="C34" s="12">
        <v>38</v>
      </c>
      <c r="D34" s="16" t="s">
        <v>85</v>
      </c>
      <c r="E34" s="16" t="s">
        <v>86</v>
      </c>
      <c r="F34" s="20">
        <v>460</v>
      </c>
      <c r="G34" s="13"/>
      <c r="H34" s="12"/>
      <c r="I34" s="12"/>
      <c r="J34" s="12">
        <f t="shared" si="0"/>
        <v>0</v>
      </c>
      <c r="K34" s="12"/>
      <c r="L34" s="12">
        <v>460</v>
      </c>
      <c r="M34" s="12"/>
      <c r="N34" s="12"/>
      <c r="O34" s="12"/>
      <c r="P34" s="12"/>
      <c r="Q34" s="12"/>
      <c r="R34" s="12"/>
      <c r="S34" s="12"/>
      <c r="T34" s="13"/>
      <c r="U34" s="18">
        <f t="shared" si="2"/>
        <v>18255</v>
      </c>
    </row>
    <row r="35" ht="15.75" customHeight="1" spans="2:21" x14ac:dyDescent="0.25">
      <c r="B35" s="12"/>
      <c r="C35" s="12">
        <v>39</v>
      </c>
      <c r="D35" s="12" t="s">
        <v>41</v>
      </c>
      <c r="E35" s="16" t="s">
        <v>53</v>
      </c>
      <c r="F35" s="12">
        <v>5360</v>
      </c>
      <c r="G35" s="13"/>
      <c r="H35" s="12">
        <v>67</v>
      </c>
      <c r="I35" s="12">
        <v>80</v>
      </c>
      <c r="J35" s="12">
        <f t="shared" si="0"/>
        <v>5360</v>
      </c>
      <c r="K35" s="12"/>
      <c r="L35" s="12"/>
      <c r="M35" s="12"/>
      <c r="N35" s="12"/>
      <c r="O35" s="12"/>
      <c r="P35" s="12"/>
      <c r="Q35" s="12"/>
      <c r="R35" s="12"/>
      <c r="S35" s="12"/>
      <c r="T35" s="13"/>
      <c r="U35" s="18">
        <f t="shared" si="2"/>
        <v>12895</v>
      </c>
    </row>
    <row r="36" ht="15.75" customHeight="1" spans="2:21" x14ac:dyDescent="0.25">
      <c r="B36" s="12"/>
      <c r="C36" s="12">
        <v>40</v>
      </c>
      <c r="D36" s="12" t="s">
        <v>41</v>
      </c>
      <c r="E36" s="16" t="s">
        <v>54</v>
      </c>
      <c r="F36" s="12">
        <v>8320</v>
      </c>
      <c r="G36" s="13"/>
      <c r="H36" s="12">
        <v>104</v>
      </c>
      <c r="I36" s="12">
        <v>80</v>
      </c>
      <c r="J36" s="12">
        <f t="shared" si="0"/>
        <v>8320</v>
      </c>
      <c r="K36" s="12"/>
      <c r="L36" s="12"/>
      <c r="M36" s="12"/>
      <c r="N36" s="12"/>
      <c r="O36" s="12"/>
      <c r="P36" s="12"/>
      <c r="Q36" s="12"/>
      <c r="R36" s="12"/>
      <c r="S36" s="12"/>
      <c r="T36" s="13"/>
      <c r="U36" s="18">
        <f t="shared" si="2"/>
        <v>4575</v>
      </c>
    </row>
    <row r="37" ht="15.75" customHeight="1" spans="2:21" x14ac:dyDescent="0.25">
      <c r="B37" s="12" t="s">
        <v>87</v>
      </c>
      <c r="C37" s="12"/>
      <c r="D37" s="15" t="s">
        <v>88</v>
      </c>
      <c r="E37" s="12"/>
      <c r="F37" s="12"/>
      <c r="G37" s="13"/>
      <c r="H37" s="12"/>
      <c r="I37" s="12"/>
      <c r="J37" s="12">
        <f t="shared" si="0"/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3"/>
      <c r="U37" s="18">
        <f>U36-F37+16000</f>
        <v>20575</v>
      </c>
    </row>
    <row r="38" ht="15.75" customHeight="1" spans="2:21" x14ac:dyDescent="0.25">
      <c r="B38" s="12"/>
      <c r="C38" s="12">
        <v>41</v>
      </c>
      <c r="D38" s="15" t="s">
        <v>13</v>
      </c>
      <c r="E38" s="21" t="s">
        <v>89</v>
      </c>
      <c r="F38" s="22">
        <v>2500</v>
      </c>
      <c r="G38" s="13"/>
      <c r="H38" s="12"/>
      <c r="I38" s="12"/>
      <c r="J38" s="12">
        <f t="shared" si="0"/>
        <v>0</v>
      </c>
      <c r="K38" s="12"/>
      <c r="L38" s="12"/>
      <c r="M38" s="12"/>
      <c r="N38" s="12"/>
      <c r="O38" s="12"/>
      <c r="P38" s="12"/>
      <c r="Q38" s="12"/>
      <c r="R38" s="12">
        <v>2500</v>
      </c>
      <c r="S38" s="12"/>
      <c r="T38" s="13"/>
      <c r="U38" s="18">
        <f t="shared" ref="U38:U40" si="3">U37-F38</f>
        <v>18075</v>
      </c>
    </row>
    <row r="39" ht="15.75" customHeight="1" spans="2:21" x14ac:dyDescent="0.25">
      <c r="B39" s="12"/>
      <c r="C39" s="12">
        <v>42</v>
      </c>
      <c r="D39" s="16" t="s">
        <v>90</v>
      </c>
      <c r="E39" s="23" t="s">
        <v>82</v>
      </c>
      <c r="F39" s="24">
        <v>360</v>
      </c>
      <c r="G39" s="13"/>
      <c r="H39" s="12"/>
      <c r="I39" s="12"/>
      <c r="J39" s="12">
        <f t="shared" si="0"/>
        <v>0</v>
      </c>
      <c r="K39" s="12"/>
      <c r="L39" s="12"/>
      <c r="M39" s="12"/>
      <c r="N39" s="12"/>
      <c r="O39" s="12"/>
      <c r="P39" s="12"/>
      <c r="Q39" s="12">
        <v>360</v>
      </c>
      <c r="R39" s="12"/>
      <c r="S39" s="12"/>
      <c r="T39" s="13"/>
      <c r="U39" s="18">
        <f t="shared" si="3"/>
        <v>17715</v>
      </c>
    </row>
    <row r="40" ht="15.75" customHeight="1" spans="2:21" x14ac:dyDescent="0.25">
      <c r="B40" s="12"/>
      <c r="C40" s="12">
        <v>43</v>
      </c>
      <c r="D40" s="12" t="s">
        <v>41</v>
      </c>
      <c r="E40" s="12" t="s">
        <v>91</v>
      </c>
      <c r="F40" s="12">
        <v>3680</v>
      </c>
      <c r="G40" s="13"/>
      <c r="H40" s="12">
        <v>46</v>
      </c>
      <c r="I40" s="12">
        <v>80</v>
      </c>
      <c r="J40" s="12">
        <f t="shared" si="0"/>
        <v>3680</v>
      </c>
      <c r="K40" s="12"/>
      <c r="L40" s="12"/>
      <c r="M40" s="12"/>
      <c r="N40" s="12"/>
      <c r="O40" s="12"/>
      <c r="P40" s="12"/>
      <c r="Q40" s="12"/>
      <c r="R40" s="12"/>
      <c r="S40" s="12"/>
      <c r="T40" s="13"/>
      <c r="U40" s="18">
        <f t="shared" si="3"/>
        <v>14035</v>
      </c>
    </row>
    <row r="41" ht="15.75" customHeight="1" spans="2:21" x14ac:dyDescent="0.25">
      <c r="B41" s="12"/>
      <c r="C41" s="12"/>
      <c r="D41" s="12" t="s">
        <v>92</v>
      </c>
      <c r="E41" s="12"/>
      <c r="F41" s="12"/>
      <c r="G41" s="13"/>
      <c r="H41" s="12"/>
      <c r="I41" s="12"/>
      <c r="J41" s="12">
        <f t="shared" si="0"/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3"/>
      <c r="U41" s="18">
        <f>U40-F41+20000</f>
        <v>34035</v>
      </c>
    </row>
    <row r="42" ht="15.75" customHeight="1" spans="2:21" x14ac:dyDescent="0.25">
      <c r="B42" s="12" t="s">
        <v>93</v>
      </c>
      <c r="C42" s="12">
        <v>44</v>
      </c>
      <c r="D42" s="12" t="s">
        <v>41</v>
      </c>
      <c r="E42" s="12" t="s">
        <v>60</v>
      </c>
      <c r="F42" s="12">
        <v>2320</v>
      </c>
      <c r="G42" s="13"/>
      <c r="H42" s="12">
        <v>29</v>
      </c>
      <c r="I42" s="12">
        <v>80</v>
      </c>
      <c r="J42" s="12">
        <f t="shared" si="0"/>
        <v>2320</v>
      </c>
      <c r="K42" s="12"/>
      <c r="L42" s="12"/>
      <c r="M42" s="12"/>
      <c r="N42" s="12"/>
      <c r="O42" s="12"/>
      <c r="P42" s="12"/>
      <c r="Q42" s="12"/>
      <c r="R42" s="12"/>
      <c r="S42" s="12"/>
      <c r="T42" s="13"/>
      <c r="U42" s="18">
        <f t="shared" ref="U42:U47" si="4">U41-F42</f>
        <v>31715</v>
      </c>
    </row>
    <row r="43" ht="15.75" customHeight="1" spans="2:21" x14ac:dyDescent="0.25">
      <c r="B43" s="12"/>
      <c r="C43" s="12">
        <v>45</v>
      </c>
      <c r="D43" s="12" t="s">
        <v>94</v>
      </c>
      <c r="E43" s="12" t="s">
        <v>91</v>
      </c>
      <c r="F43" s="12">
        <v>8500</v>
      </c>
      <c r="G43" s="13"/>
      <c r="H43" s="12">
        <v>60</v>
      </c>
      <c r="I43" s="12">
        <v>142</v>
      </c>
      <c r="J43" s="12">
        <v>8500</v>
      </c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8">
        <f t="shared" si="4"/>
        <v>23215</v>
      </c>
    </row>
    <row r="44" ht="15.75" customHeight="1" spans="2:21" x14ac:dyDescent="0.25">
      <c r="B44" s="12" t="s">
        <v>95</v>
      </c>
      <c r="C44" s="12">
        <v>46</v>
      </c>
      <c r="D44" s="25" t="s">
        <v>41</v>
      </c>
      <c r="E44" s="25" t="s">
        <v>96</v>
      </c>
      <c r="F44" s="12">
        <v>1120</v>
      </c>
      <c r="G44" s="13"/>
      <c r="H44" s="12">
        <v>14</v>
      </c>
      <c r="I44" s="12">
        <v>80</v>
      </c>
      <c r="J44" s="12">
        <f>H44*I44</f>
        <v>1120</v>
      </c>
      <c r="K44" s="12"/>
      <c r="L44" s="12"/>
      <c r="M44" s="12"/>
      <c r="N44" s="12"/>
      <c r="O44" s="12"/>
      <c r="P44" s="12"/>
      <c r="Q44" s="12"/>
      <c r="R44" s="12"/>
      <c r="S44" s="12"/>
      <c r="T44" s="13"/>
      <c r="U44" s="18">
        <f t="shared" si="4"/>
        <v>22095</v>
      </c>
    </row>
    <row r="45" ht="15.75" customHeight="1" spans="2:21" x14ac:dyDescent="0.25">
      <c r="B45" s="12"/>
      <c r="C45" s="12">
        <v>47</v>
      </c>
      <c r="D45" s="25" t="s">
        <v>41</v>
      </c>
      <c r="E45" s="25" t="s">
        <v>91</v>
      </c>
      <c r="F45" s="12">
        <v>7200</v>
      </c>
      <c r="G45" s="13"/>
      <c r="H45" s="12">
        <v>90</v>
      </c>
      <c r="I45" s="12">
        <v>80</v>
      </c>
      <c r="J45" s="12">
        <f>I45*H45</f>
        <v>7200</v>
      </c>
      <c r="K45" s="12"/>
      <c r="L45" s="12"/>
      <c r="M45" s="12"/>
      <c r="N45" s="12"/>
      <c r="O45" s="12"/>
      <c r="P45" s="12"/>
      <c r="Q45" s="12"/>
      <c r="R45" s="12"/>
      <c r="S45" s="12"/>
      <c r="T45" s="13"/>
      <c r="U45" s="18">
        <f t="shared" si="4"/>
        <v>14895</v>
      </c>
    </row>
    <row r="46" ht="15.75" customHeight="1" spans="2:21" x14ac:dyDescent="0.25">
      <c r="B46" s="12"/>
      <c r="C46" s="12">
        <v>48</v>
      </c>
      <c r="D46" s="25" t="s">
        <v>97</v>
      </c>
      <c r="E46" s="25" t="s">
        <v>22</v>
      </c>
      <c r="F46" s="12">
        <v>830</v>
      </c>
      <c r="G46" s="13"/>
      <c r="H46" s="12"/>
      <c r="I46" s="12"/>
      <c r="J46" s="12"/>
      <c r="K46" s="12"/>
      <c r="L46" s="12"/>
      <c r="M46" s="12"/>
      <c r="N46" s="12"/>
      <c r="O46" s="12"/>
      <c r="P46" s="12"/>
      <c r="Q46" s="12">
        <v>830</v>
      </c>
      <c r="R46" s="12"/>
      <c r="S46" s="12"/>
      <c r="T46" s="13"/>
      <c r="U46" s="18">
        <f t="shared" si="4"/>
        <v>14065</v>
      </c>
    </row>
    <row r="47" ht="15.75" customHeight="1" spans="2:21" x14ac:dyDescent="0.25">
      <c r="B47" s="12"/>
      <c r="C47" s="12">
        <v>49</v>
      </c>
      <c r="D47" s="25" t="s">
        <v>98</v>
      </c>
      <c r="E47" s="25"/>
      <c r="F47" s="12">
        <v>300</v>
      </c>
      <c r="G47" s="13"/>
      <c r="H47" s="12"/>
      <c r="I47" s="12"/>
      <c r="J47" s="12"/>
      <c r="K47" s="12"/>
      <c r="L47" s="12"/>
      <c r="M47" s="12"/>
      <c r="N47" s="12">
        <v>300</v>
      </c>
      <c r="O47" s="12"/>
      <c r="P47" s="12"/>
      <c r="Q47" s="12"/>
      <c r="R47" s="12"/>
      <c r="S47" s="12"/>
      <c r="T47" s="13"/>
      <c r="U47" s="18">
        <f t="shared" si="4"/>
        <v>13765</v>
      </c>
    </row>
    <row r="48" ht="15.75" customHeight="1" spans="2:21" x14ac:dyDescent="0.25">
      <c r="B48" s="26" t="s">
        <v>99</v>
      </c>
      <c r="C48" s="27"/>
      <c r="D48" s="27" t="s">
        <v>100</v>
      </c>
      <c r="E48" s="27"/>
      <c r="F48" s="12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3"/>
      <c r="U48" s="18">
        <f>U47-F48+137910</f>
        <v>151675</v>
      </c>
    </row>
    <row r="49" ht="15.75" customHeight="1" spans="2:21" x14ac:dyDescent="0.25">
      <c r="B49" s="28" t="s">
        <v>101</v>
      </c>
      <c r="C49" s="25">
        <v>50</v>
      </c>
      <c r="D49" s="25" t="s">
        <v>102</v>
      </c>
      <c r="E49" s="25"/>
      <c r="F49" s="29">
        <v>16900</v>
      </c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3"/>
      <c r="U49" s="18">
        <f t="shared" ref="U49:U68" si="5">U48-F49</f>
        <v>134775</v>
      </c>
    </row>
    <row r="50" ht="15.75" customHeight="1" spans="2:21" x14ac:dyDescent="0.25">
      <c r="B50" s="28"/>
      <c r="C50" s="25">
        <v>51</v>
      </c>
      <c r="D50" s="25" t="s">
        <v>103</v>
      </c>
      <c r="E50" s="25"/>
      <c r="F50" s="30">
        <v>27800</v>
      </c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  <c r="U50" s="18">
        <f t="shared" si="5"/>
        <v>106975</v>
      </c>
    </row>
    <row r="51" ht="15.75" customHeight="1" spans="2:21" x14ac:dyDescent="0.25">
      <c r="B51" s="28"/>
      <c r="C51" s="25">
        <v>52</v>
      </c>
      <c r="D51" s="25" t="s">
        <v>13</v>
      </c>
      <c r="E51" s="25" t="s">
        <v>104</v>
      </c>
      <c r="F51" s="30">
        <v>2500</v>
      </c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3"/>
      <c r="U51" s="18">
        <f t="shared" si="5"/>
        <v>104475</v>
      </c>
    </row>
    <row r="52" ht="15.75" customHeight="1" spans="2:21" x14ac:dyDescent="0.25">
      <c r="B52" s="28"/>
      <c r="C52" s="25">
        <v>53</v>
      </c>
      <c r="D52" s="25" t="s">
        <v>105</v>
      </c>
      <c r="E52" s="25" t="s">
        <v>106</v>
      </c>
      <c r="F52" s="30">
        <v>560</v>
      </c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3"/>
      <c r="U52" s="18">
        <f t="shared" si="5"/>
        <v>103915</v>
      </c>
    </row>
    <row r="53" ht="15.75" customHeight="1" spans="2:21" x14ac:dyDescent="0.25">
      <c r="B53" s="28"/>
      <c r="C53" s="25">
        <v>54</v>
      </c>
      <c r="D53" s="25" t="s">
        <v>107</v>
      </c>
      <c r="E53" s="25" t="s">
        <v>106</v>
      </c>
      <c r="F53" s="30">
        <v>600</v>
      </c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3"/>
      <c r="U53" s="18">
        <f t="shared" si="5"/>
        <v>103315</v>
      </c>
    </row>
    <row r="54" ht="15.75" customHeight="1" spans="2:21" x14ac:dyDescent="0.25">
      <c r="B54" s="28"/>
      <c r="C54" s="25">
        <v>55</v>
      </c>
      <c r="D54" s="25" t="s">
        <v>90</v>
      </c>
      <c r="E54" s="25" t="s">
        <v>108</v>
      </c>
      <c r="F54" s="30">
        <v>380</v>
      </c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3"/>
      <c r="U54" s="18">
        <f t="shared" si="5"/>
        <v>102935</v>
      </c>
    </row>
    <row r="55" ht="15.75" customHeight="1" spans="2:21" x14ac:dyDescent="0.25">
      <c r="B55" s="28"/>
      <c r="C55" s="25">
        <v>56</v>
      </c>
      <c r="D55" s="25" t="s">
        <v>41</v>
      </c>
      <c r="E55" s="25" t="s">
        <v>54</v>
      </c>
      <c r="F55" s="30">
        <v>15400</v>
      </c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  <c r="U55" s="18">
        <f t="shared" si="5"/>
        <v>87535</v>
      </c>
    </row>
    <row r="56" ht="15.75" customHeight="1" spans="2:21" x14ac:dyDescent="0.25">
      <c r="B56" s="28"/>
      <c r="C56" s="25">
        <v>57</v>
      </c>
      <c r="D56" s="25" t="s">
        <v>109</v>
      </c>
      <c r="E56" s="25" t="s">
        <v>28</v>
      </c>
      <c r="F56" s="30">
        <v>2110</v>
      </c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  <c r="U56" s="18">
        <f t="shared" si="5"/>
        <v>85425</v>
      </c>
    </row>
    <row r="57" ht="15.75" customHeight="1" spans="2:21" x14ac:dyDescent="0.25">
      <c r="B57" s="28"/>
      <c r="C57" s="25">
        <v>58</v>
      </c>
      <c r="D57" s="25" t="s">
        <v>110</v>
      </c>
      <c r="E57" s="25"/>
      <c r="F57" s="30">
        <v>900</v>
      </c>
      <c r="G57" s="1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  <c r="U57" s="18">
        <f t="shared" si="5"/>
        <v>84525</v>
      </c>
    </row>
    <row r="58" ht="15.75" customHeight="1" spans="2:21" x14ac:dyDescent="0.25">
      <c r="B58" s="28"/>
      <c r="C58" s="25">
        <v>59</v>
      </c>
      <c r="D58" s="25" t="s">
        <v>41</v>
      </c>
      <c r="E58" s="25" t="s">
        <v>91</v>
      </c>
      <c r="F58" s="30">
        <v>4200</v>
      </c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  <c r="U58" s="18">
        <f t="shared" si="5"/>
        <v>80325</v>
      </c>
    </row>
    <row r="59" ht="15.75" customHeight="1" spans="2:21" x14ac:dyDescent="0.25">
      <c r="B59" s="28" t="s">
        <v>111</v>
      </c>
      <c r="C59" s="25">
        <v>60</v>
      </c>
      <c r="D59" s="25" t="s">
        <v>110</v>
      </c>
      <c r="E59" s="25"/>
      <c r="F59" s="30">
        <v>680</v>
      </c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  <c r="U59" s="18">
        <f t="shared" si="5"/>
        <v>79645</v>
      </c>
    </row>
    <row r="60" ht="15.75" customHeight="1" spans="2:21" x14ac:dyDescent="0.25">
      <c r="B60" s="28"/>
      <c r="C60" s="25">
        <v>61</v>
      </c>
      <c r="D60" s="25" t="s">
        <v>112</v>
      </c>
      <c r="E60" s="25"/>
      <c r="F60" s="30">
        <v>11650</v>
      </c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  <c r="U60" s="18">
        <f t="shared" si="5"/>
        <v>67995</v>
      </c>
    </row>
    <row r="61" ht="15.75" customHeight="1" spans="2:21" x14ac:dyDescent="0.25">
      <c r="B61" s="12"/>
      <c r="C61" s="25">
        <v>62</v>
      </c>
      <c r="D61" s="26" t="s">
        <v>41</v>
      </c>
      <c r="E61" s="27" t="s">
        <v>113</v>
      </c>
      <c r="F61" s="28">
        <v>10400</v>
      </c>
      <c r="G61" s="13"/>
      <c r="H61" s="12">
        <v>104</v>
      </c>
      <c r="I61" s="12">
        <v>100</v>
      </c>
      <c r="J61" s="12">
        <f>100*104</f>
        <v>10400</v>
      </c>
      <c r="K61" s="12"/>
      <c r="L61" s="12"/>
      <c r="M61" s="12"/>
      <c r="N61" s="12"/>
      <c r="O61" s="12"/>
      <c r="P61" s="12"/>
      <c r="Q61" s="12"/>
      <c r="R61" s="12"/>
      <c r="S61" s="12"/>
      <c r="T61" s="13"/>
      <c r="U61" s="18">
        <f t="shared" si="5"/>
        <v>57595</v>
      </c>
    </row>
    <row r="62" ht="15.75" customHeight="1" spans="2:21" x14ac:dyDescent="0.25">
      <c r="B62" s="12"/>
      <c r="C62" s="25">
        <v>63</v>
      </c>
      <c r="D62" s="28" t="s">
        <v>41</v>
      </c>
      <c r="E62" s="25" t="s">
        <v>54</v>
      </c>
      <c r="F62" s="12">
        <v>13300</v>
      </c>
      <c r="G62" s="13"/>
      <c r="H62" s="12">
        <v>133</v>
      </c>
      <c r="I62" s="12">
        <v>100</v>
      </c>
      <c r="J62" s="12">
        <f>100*133</f>
        <v>13300</v>
      </c>
      <c r="K62" s="12"/>
      <c r="L62" s="12"/>
      <c r="M62" s="12"/>
      <c r="N62" s="12"/>
      <c r="O62" s="12"/>
      <c r="P62" s="12"/>
      <c r="Q62" s="12"/>
      <c r="R62" s="12"/>
      <c r="S62" s="12"/>
      <c r="T62" s="13"/>
      <c r="U62" s="18">
        <f t="shared" si="5"/>
        <v>44295</v>
      </c>
    </row>
    <row r="63" ht="15.75" customHeight="1" spans="2:21" x14ac:dyDescent="0.25">
      <c r="B63" s="12"/>
      <c r="C63" s="25">
        <v>64</v>
      </c>
      <c r="D63" s="28" t="s">
        <v>114</v>
      </c>
      <c r="E63" s="25" t="s">
        <v>115</v>
      </c>
      <c r="F63" s="31">
        <v>300</v>
      </c>
      <c r="G63" s="32"/>
      <c r="H63" s="31"/>
      <c r="I63" s="31"/>
      <c r="J63" s="31"/>
      <c r="K63" s="12"/>
      <c r="L63" s="12"/>
      <c r="M63" s="12"/>
      <c r="N63" s="12"/>
      <c r="O63" s="12"/>
      <c r="P63" s="12"/>
      <c r="Q63" s="12"/>
      <c r="R63" s="12"/>
      <c r="S63" s="12"/>
      <c r="T63" s="13"/>
      <c r="U63" s="18">
        <f t="shared" si="5"/>
        <v>43995</v>
      </c>
    </row>
    <row r="64" ht="15.75" customHeight="1" spans="2:21" x14ac:dyDescent="0.25">
      <c r="B64" s="12" t="s">
        <v>116</v>
      </c>
      <c r="C64" s="25">
        <v>65</v>
      </c>
      <c r="D64" s="26" t="s">
        <v>117</v>
      </c>
      <c r="E64" s="27" t="s">
        <v>118</v>
      </c>
      <c r="F64" s="33">
        <v>10000</v>
      </c>
      <c r="G64" s="34"/>
      <c r="H64" s="27"/>
      <c r="I64" s="27"/>
      <c r="J64" s="33">
        <v>10000</v>
      </c>
      <c r="K64" s="12"/>
      <c r="L64" s="12"/>
      <c r="M64" s="12"/>
      <c r="N64" s="12"/>
      <c r="O64" s="12"/>
      <c r="P64" s="12"/>
      <c r="Q64" s="12"/>
      <c r="R64" s="12"/>
      <c r="S64" s="12"/>
      <c r="T64" s="13"/>
      <c r="U64" s="18">
        <f t="shared" si="5"/>
        <v>33995</v>
      </c>
    </row>
    <row r="65" ht="15.75" customHeight="1" spans="2:21" x14ac:dyDescent="0.25">
      <c r="B65" s="12"/>
      <c r="C65" s="25">
        <v>66</v>
      </c>
      <c r="D65" s="28" t="s">
        <v>98</v>
      </c>
      <c r="E65" s="25" t="s">
        <v>119</v>
      </c>
      <c r="F65" s="35">
        <v>1000</v>
      </c>
      <c r="G65" s="36"/>
      <c r="H65" s="25"/>
      <c r="I65" s="25"/>
      <c r="J65" s="25"/>
      <c r="K65" s="12"/>
      <c r="L65" s="12"/>
      <c r="M65" s="12"/>
      <c r="N65" s="12">
        <v>1000</v>
      </c>
      <c r="O65" s="12"/>
      <c r="P65" s="12"/>
      <c r="Q65" s="12"/>
      <c r="R65" s="12"/>
      <c r="S65" s="12"/>
      <c r="T65" s="13"/>
      <c r="U65" s="18">
        <f t="shared" si="5"/>
        <v>32995</v>
      </c>
    </row>
    <row r="66" ht="15.75" customHeight="1" spans="2:21" x14ac:dyDescent="0.25">
      <c r="B66" s="12"/>
      <c r="C66" s="25">
        <v>67</v>
      </c>
      <c r="D66" s="28" t="s">
        <v>114</v>
      </c>
      <c r="E66" s="25" t="s">
        <v>120</v>
      </c>
      <c r="F66" s="35">
        <v>400</v>
      </c>
      <c r="G66" s="36"/>
      <c r="H66" s="25"/>
      <c r="I66" s="25"/>
      <c r="J66" s="25"/>
      <c r="K66" s="12"/>
      <c r="L66" s="12"/>
      <c r="M66" s="12"/>
      <c r="N66" s="12"/>
      <c r="O66" s="12"/>
      <c r="P66" s="12"/>
      <c r="Q66" s="12">
        <v>400</v>
      </c>
      <c r="R66" s="12"/>
      <c r="S66" s="12"/>
      <c r="T66" s="13"/>
      <c r="U66" s="18">
        <f t="shared" si="5"/>
        <v>32595</v>
      </c>
    </row>
    <row r="67" ht="15.75" customHeight="1" spans="2:21" x14ac:dyDescent="0.25">
      <c r="B67" s="12"/>
      <c r="C67" s="25">
        <v>68</v>
      </c>
      <c r="D67" s="28" t="s">
        <v>41</v>
      </c>
      <c r="E67" s="25" t="s">
        <v>54</v>
      </c>
      <c r="F67" s="35">
        <v>16300</v>
      </c>
      <c r="G67" s="36"/>
      <c r="H67" s="35">
        <v>163</v>
      </c>
      <c r="I67" s="35">
        <v>100</v>
      </c>
      <c r="J67" s="35">
        <v>16300</v>
      </c>
      <c r="K67" s="12"/>
      <c r="L67" s="12"/>
      <c r="M67" s="12"/>
      <c r="N67" s="12"/>
      <c r="O67" s="12"/>
      <c r="P67" s="12"/>
      <c r="Q67" s="12"/>
      <c r="R67" s="12"/>
      <c r="S67" s="12"/>
      <c r="T67" s="13"/>
      <c r="U67" s="18">
        <f t="shared" si="5"/>
        <v>16295</v>
      </c>
    </row>
    <row r="68" ht="15.75" customHeight="1" spans="2:21" x14ac:dyDescent="0.25">
      <c r="B68" s="12"/>
      <c r="C68" s="25">
        <v>69</v>
      </c>
      <c r="D68" s="28" t="s">
        <v>41</v>
      </c>
      <c r="E68" s="25" t="s">
        <v>121</v>
      </c>
      <c r="F68" s="35">
        <v>11400</v>
      </c>
      <c r="G68" s="36"/>
      <c r="H68" s="35">
        <v>114</v>
      </c>
      <c r="I68" s="35">
        <v>100</v>
      </c>
      <c r="J68" s="35">
        <v>11400</v>
      </c>
      <c r="K68" s="12"/>
      <c r="L68" s="12"/>
      <c r="M68" s="12"/>
      <c r="N68" s="12"/>
      <c r="O68" s="12"/>
      <c r="P68" s="12"/>
      <c r="Q68" s="12"/>
      <c r="R68" s="12"/>
      <c r="S68" s="12"/>
      <c r="T68" s="13"/>
      <c r="U68" s="18">
        <f t="shared" si="5"/>
        <v>4895</v>
      </c>
    </row>
    <row r="69" ht="15.75" customHeight="1" spans="2:21" x14ac:dyDescent="0.25">
      <c r="B69" s="12"/>
      <c r="C69" s="12"/>
      <c r="D69" s="28" t="s">
        <v>122</v>
      </c>
      <c r="E69" s="25"/>
      <c r="F69" s="25"/>
      <c r="G69" s="36"/>
      <c r="H69" s="25"/>
      <c r="I69" s="25"/>
      <c r="J69" s="25"/>
      <c r="K69" s="12"/>
      <c r="L69" s="12"/>
      <c r="M69" s="12"/>
      <c r="N69" s="12"/>
      <c r="O69" s="12"/>
      <c r="P69" s="12"/>
      <c r="Q69" s="12"/>
      <c r="R69" s="12"/>
      <c r="S69" s="12"/>
      <c r="T69" s="13"/>
      <c r="U69" s="18">
        <f>U68-F69+90000</f>
        <v>94895</v>
      </c>
    </row>
    <row r="70" ht="15.75" customHeight="1" spans="2:21" x14ac:dyDescent="0.25">
      <c r="B70" s="26" t="s">
        <v>123</v>
      </c>
      <c r="C70" s="26">
        <v>70</v>
      </c>
      <c r="D70" s="26" t="s">
        <v>124</v>
      </c>
      <c r="E70" s="26" t="s">
        <v>28</v>
      </c>
      <c r="F70" s="29">
        <v>420</v>
      </c>
      <c r="G70" s="13"/>
      <c r="H70" s="12"/>
      <c r="I70" s="12"/>
      <c r="J70" s="12"/>
      <c r="K70" s="12"/>
      <c r="L70" s="12"/>
      <c r="M70" s="12"/>
      <c r="N70" s="12"/>
      <c r="O70" s="12"/>
      <c r="P70" s="12">
        <v>420</v>
      </c>
      <c r="Q70" s="12"/>
      <c r="R70" s="12"/>
      <c r="S70" s="12"/>
      <c r="T70" s="13"/>
      <c r="U70" s="18">
        <f t="shared" ref="U70:U79" si="6">U69-F70</f>
        <v>94475</v>
      </c>
    </row>
    <row r="71" ht="15.75" customHeight="1" spans="2:21" x14ac:dyDescent="0.25">
      <c r="B71" s="26"/>
      <c r="C71" s="26">
        <v>71</v>
      </c>
      <c r="D71" s="26" t="s">
        <v>125</v>
      </c>
      <c r="E71" s="26" t="s">
        <v>106</v>
      </c>
      <c r="F71" s="29">
        <v>520</v>
      </c>
      <c r="G71" s="13"/>
      <c r="H71" s="12"/>
      <c r="I71" s="12"/>
      <c r="J71" s="12"/>
      <c r="K71" s="12"/>
      <c r="L71" s="12"/>
      <c r="M71" s="12"/>
      <c r="N71" s="12"/>
      <c r="O71" s="12"/>
      <c r="P71" s="12">
        <v>520</v>
      </c>
      <c r="Q71" s="12"/>
      <c r="R71" s="12"/>
      <c r="S71" s="12"/>
      <c r="T71" s="13"/>
      <c r="U71" s="18">
        <f t="shared" si="6"/>
        <v>93955</v>
      </c>
    </row>
    <row r="72" ht="15.75" customHeight="1" spans="2:21" x14ac:dyDescent="0.25">
      <c r="B72" s="26"/>
      <c r="C72" s="26">
        <v>72</v>
      </c>
      <c r="D72" s="26" t="s">
        <v>13</v>
      </c>
      <c r="E72" s="26" t="s">
        <v>104</v>
      </c>
      <c r="F72" s="29">
        <v>2500</v>
      </c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>
        <v>2500</v>
      </c>
      <c r="S72" s="12"/>
      <c r="T72" s="13"/>
      <c r="U72" s="18">
        <f t="shared" si="6"/>
        <v>91455</v>
      </c>
    </row>
    <row r="73" ht="15.75" customHeight="1" spans="2:21" x14ac:dyDescent="0.25">
      <c r="B73" s="26"/>
      <c r="C73" s="26">
        <v>73</v>
      </c>
      <c r="D73" s="26" t="s">
        <v>90</v>
      </c>
      <c r="E73" s="26" t="s">
        <v>126</v>
      </c>
      <c r="F73" s="29">
        <v>380</v>
      </c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>
        <v>380</v>
      </c>
      <c r="R73" s="12"/>
      <c r="S73" s="12"/>
      <c r="T73" s="13"/>
      <c r="U73" s="18">
        <f t="shared" si="6"/>
        <v>91075</v>
      </c>
    </row>
    <row r="74" ht="15.75" customHeight="1" spans="2:21" x14ac:dyDescent="0.25">
      <c r="B74" s="26"/>
      <c r="C74" s="26">
        <v>74</v>
      </c>
      <c r="D74" s="26" t="s">
        <v>41</v>
      </c>
      <c r="E74" s="26" t="s">
        <v>54</v>
      </c>
      <c r="F74" s="29">
        <v>13000</v>
      </c>
      <c r="G74" s="13"/>
      <c r="H74" s="12">
        <v>130</v>
      </c>
      <c r="I74" s="12">
        <v>100</v>
      </c>
      <c r="J74" s="12">
        <f t="shared" ref="J74:J76" si="7">H74*I74</f>
        <v>13000</v>
      </c>
      <c r="K74" s="12"/>
      <c r="L74" s="12"/>
      <c r="M74" s="12"/>
      <c r="N74" s="12"/>
      <c r="O74" s="12"/>
      <c r="P74" s="12"/>
      <c r="Q74" s="12"/>
      <c r="R74" s="12"/>
      <c r="S74" s="12"/>
      <c r="T74" s="13"/>
      <c r="U74" s="18">
        <f t="shared" si="6"/>
        <v>78075</v>
      </c>
    </row>
    <row r="75" ht="15.75" customHeight="1" spans="2:21" x14ac:dyDescent="0.25">
      <c r="B75" s="26"/>
      <c r="C75" s="26">
        <v>75</v>
      </c>
      <c r="D75" s="26" t="s">
        <v>41</v>
      </c>
      <c r="E75" s="26" t="s">
        <v>42</v>
      </c>
      <c r="F75" s="29">
        <v>19400</v>
      </c>
      <c r="G75" s="13"/>
      <c r="H75" s="12">
        <v>194</v>
      </c>
      <c r="I75" s="12">
        <v>100</v>
      </c>
      <c r="J75" s="12">
        <f t="shared" si="7"/>
        <v>19400</v>
      </c>
      <c r="K75" s="12"/>
      <c r="L75" s="12"/>
      <c r="M75" s="12"/>
      <c r="N75" s="12"/>
      <c r="O75" s="12"/>
      <c r="P75" s="12"/>
      <c r="Q75" s="12"/>
      <c r="R75" s="12"/>
      <c r="S75" s="12"/>
      <c r="T75" s="13"/>
      <c r="U75" s="18">
        <f t="shared" si="6"/>
        <v>58675</v>
      </c>
    </row>
    <row r="76" ht="15.75" customHeight="1" spans="2:21" x14ac:dyDescent="0.25">
      <c r="B76" s="26"/>
      <c r="C76" s="26">
        <v>76</v>
      </c>
      <c r="D76" s="26" t="s">
        <v>41</v>
      </c>
      <c r="E76" s="26" t="s">
        <v>121</v>
      </c>
      <c r="F76" s="29">
        <v>14900</v>
      </c>
      <c r="G76" s="13"/>
      <c r="H76" s="12">
        <v>149</v>
      </c>
      <c r="I76" s="12">
        <v>100</v>
      </c>
      <c r="J76" s="12">
        <f t="shared" si="7"/>
        <v>14900</v>
      </c>
      <c r="K76" s="12"/>
      <c r="L76" s="12"/>
      <c r="M76" s="12"/>
      <c r="N76" s="12"/>
      <c r="O76" s="12"/>
      <c r="P76" s="12"/>
      <c r="Q76" s="12"/>
      <c r="R76" s="12"/>
      <c r="S76" s="12"/>
      <c r="T76" s="13"/>
      <c r="U76" s="18">
        <f t="shared" si="6"/>
        <v>43775</v>
      </c>
    </row>
    <row r="77" ht="15.75" customHeight="1" spans="2:21" x14ac:dyDescent="0.25">
      <c r="B77" s="26" t="s">
        <v>127</v>
      </c>
      <c r="C77" s="26">
        <v>76</v>
      </c>
      <c r="D77" s="26" t="s">
        <v>41</v>
      </c>
      <c r="E77" s="26" t="s">
        <v>128</v>
      </c>
      <c r="F77" s="29">
        <v>13800</v>
      </c>
      <c r="G77" s="37"/>
      <c r="H77" s="29">
        <v>138</v>
      </c>
      <c r="I77" s="29">
        <v>100</v>
      </c>
      <c r="J77" s="29">
        <v>13800</v>
      </c>
      <c r="K77" s="12"/>
      <c r="L77" s="12"/>
      <c r="M77" s="12"/>
      <c r="N77" s="12"/>
      <c r="O77" s="12"/>
      <c r="P77" s="12"/>
      <c r="Q77" s="12"/>
      <c r="R77" s="12"/>
      <c r="S77" s="12"/>
      <c r="T77" s="13"/>
      <c r="U77" s="18">
        <f t="shared" si="6"/>
        <v>29975</v>
      </c>
    </row>
    <row r="78" ht="15.75" customHeight="1" spans="2:21" x14ac:dyDescent="0.25">
      <c r="B78" s="26"/>
      <c r="C78" s="26">
        <v>77</v>
      </c>
      <c r="D78" s="26" t="s">
        <v>41</v>
      </c>
      <c r="E78" s="26" t="s">
        <v>42</v>
      </c>
      <c r="F78" s="29">
        <v>13100</v>
      </c>
      <c r="G78" s="37"/>
      <c r="H78" s="29">
        <v>131</v>
      </c>
      <c r="I78" s="29">
        <v>100</v>
      </c>
      <c r="J78" s="29">
        <v>13100</v>
      </c>
      <c r="K78" s="12"/>
      <c r="L78" s="12"/>
      <c r="M78" s="12"/>
      <c r="N78" s="12"/>
      <c r="O78" s="12"/>
      <c r="P78" s="12"/>
      <c r="Q78" s="12"/>
      <c r="R78" s="12"/>
      <c r="S78" s="12"/>
      <c r="T78" s="13"/>
      <c r="U78" s="18">
        <f t="shared" si="6"/>
        <v>16875</v>
      </c>
    </row>
    <row r="79" ht="15.75" customHeight="1" spans="2:21" x14ac:dyDescent="0.25">
      <c r="B79" s="26"/>
      <c r="C79" s="26">
        <v>78</v>
      </c>
      <c r="D79" s="26" t="s">
        <v>41</v>
      </c>
      <c r="E79" s="26" t="s">
        <v>121</v>
      </c>
      <c r="F79" s="29">
        <v>6900</v>
      </c>
      <c r="G79" s="37"/>
      <c r="H79" s="29">
        <v>69</v>
      </c>
      <c r="I79" s="29">
        <v>100</v>
      </c>
      <c r="J79" s="29">
        <v>6900</v>
      </c>
      <c r="K79" s="12"/>
      <c r="L79" s="12"/>
      <c r="M79" s="12"/>
      <c r="N79" s="12"/>
      <c r="O79" s="12"/>
      <c r="P79" s="12"/>
      <c r="Q79" s="12"/>
      <c r="R79" s="12"/>
      <c r="S79" s="12"/>
      <c r="T79" s="13"/>
      <c r="U79" s="18">
        <f t="shared" si="6"/>
        <v>9975</v>
      </c>
    </row>
    <row r="80" ht="15.75" customHeight="1" spans="2:21" x14ac:dyDescent="0.25">
      <c r="B80" s="26"/>
      <c r="C80" s="26"/>
      <c r="D80" s="26" t="s">
        <v>129</v>
      </c>
      <c r="E80" s="26"/>
      <c r="F80" s="26"/>
      <c r="G80" s="37"/>
      <c r="H80" s="26"/>
      <c r="I80" s="26"/>
      <c r="J80" s="26"/>
      <c r="K80" s="12"/>
      <c r="L80" s="12"/>
      <c r="M80" s="12"/>
      <c r="N80" s="12"/>
      <c r="O80" s="12"/>
      <c r="P80" s="12"/>
      <c r="Q80" s="12"/>
      <c r="R80" s="12"/>
      <c r="S80" s="12"/>
      <c r="T80" s="13"/>
      <c r="U80" s="18">
        <f>U79-F80+60000</f>
        <v>69975</v>
      </c>
    </row>
    <row r="81" ht="15.75" customHeight="1" spans="2:21" x14ac:dyDescent="0.25">
      <c r="B81" s="26"/>
      <c r="C81" s="26">
        <v>79</v>
      </c>
      <c r="D81" s="26" t="s">
        <v>130</v>
      </c>
      <c r="E81" s="26"/>
      <c r="F81" s="29">
        <v>15000</v>
      </c>
      <c r="G81" s="37"/>
      <c r="H81" s="26"/>
      <c r="I81" s="26"/>
      <c r="J81" s="26"/>
      <c r="K81" s="12"/>
      <c r="L81" s="12">
        <v>15000</v>
      </c>
      <c r="M81" s="12"/>
      <c r="N81" s="12"/>
      <c r="O81" s="12"/>
      <c r="P81" s="12"/>
      <c r="Q81" s="12"/>
      <c r="R81" s="12"/>
      <c r="S81" s="12"/>
      <c r="T81" s="13"/>
      <c r="U81" s="18">
        <f t="shared" ref="U81:U97" si="8">U80-F81</f>
        <v>54975</v>
      </c>
    </row>
    <row r="82" ht="15.75" customHeight="1" spans="2:21" x14ac:dyDescent="0.25">
      <c r="B82" s="26"/>
      <c r="C82" s="26">
        <v>80</v>
      </c>
      <c r="D82" s="26" t="s">
        <v>131</v>
      </c>
      <c r="E82" s="26" t="s">
        <v>132</v>
      </c>
      <c r="F82" s="29">
        <v>9000</v>
      </c>
      <c r="G82" s="37"/>
      <c r="H82" s="29">
        <v>90</v>
      </c>
      <c r="I82" s="29">
        <v>100</v>
      </c>
      <c r="J82" s="29">
        <v>9000</v>
      </c>
      <c r="K82" s="12"/>
      <c r="L82" s="12"/>
      <c r="M82" s="12"/>
      <c r="N82" s="12"/>
      <c r="O82" s="12"/>
      <c r="P82" s="12"/>
      <c r="Q82" s="12"/>
      <c r="R82" s="12"/>
      <c r="S82" s="12"/>
      <c r="T82" s="13"/>
      <c r="U82" s="18">
        <f t="shared" si="8"/>
        <v>45975</v>
      </c>
    </row>
    <row r="83" ht="15.75" customHeight="1" spans="2:21" x14ac:dyDescent="0.25">
      <c r="B83" s="26"/>
      <c r="C83" s="26">
        <v>81</v>
      </c>
      <c r="D83" s="26" t="s">
        <v>41</v>
      </c>
      <c r="E83" s="26" t="s">
        <v>54</v>
      </c>
      <c r="F83" s="29">
        <v>12600</v>
      </c>
      <c r="G83" s="37"/>
      <c r="H83" s="29">
        <v>126</v>
      </c>
      <c r="I83" s="29">
        <v>100</v>
      </c>
      <c r="J83" s="29">
        <v>12600</v>
      </c>
      <c r="K83" s="12"/>
      <c r="L83" s="12"/>
      <c r="M83" s="12"/>
      <c r="N83" s="12"/>
      <c r="O83" s="12"/>
      <c r="P83" s="12"/>
      <c r="Q83" s="12"/>
      <c r="R83" s="12"/>
      <c r="S83" s="12"/>
      <c r="T83" s="13"/>
      <c r="U83" s="18">
        <f t="shared" si="8"/>
        <v>33375</v>
      </c>
    </row>
    <row r="84" ht="15.75" customHeight="1" spans="2:21" x14ac:dyDescent="0.25">
      <c r="B84" s="26"/>
      <c r="C84" s="26">
        <v>82</v>
      </c>
      <c r="D84" s="26" t="s">
        <v>41</v>
      </c>
      <c r="E84" s="26" t="s">
        <v>133</v>
      </c>
      <c r="F84" s="29">
        <v>5600</v>
      </c>
      <c r="G84" s="37"/>
      <c r="H84" s="29">
        <v>56</v>
      </c>
      <c r="I84" s="29">
        <v>100</v>
      </c>
      <c r="J84" s="29">
        <v>5600</v>
      </c>
      <c r="K84" s="12"/>
      <c r="L84" s="12"/>
      <c r="M84" s="12"/>
      <c r="N84" s="12"/>
      <c r="O84" s="12"/>
      <c r="P84" s="12"/>
      <c r="Q84" s="12"/>
      <c r="R84" s="12"/>
      <c r="S84" s="12"/>
      <c r="T84" s="13"/>
      <c r="U84" s="18">
        <f t="shared" si="8"/>
        <v>27775</v>
      </c>
    </row>
    <row r="85" ht="15.75" customHeight="1" spans="2:21" x14ac:dyDescent="0.25">
      <c r="B85" s="12"/>
      <c r="C85" s="12">
        <v>83</v>
      </c>
      <c r="D85" s="12" t="s">
        <v>134</v>
      </c>
      <c r="E85" s="12" t="s">
        <v>135</v>
      </c>
      <c r="F85" s="12">
        <v>120</v>
      </c>
      <c r="G85" s="13"/>
      <c r="H85" s="12"/>
      <c r="I85" s="12"/>
      <c r="J85" s="12"/>
      <c r="K85" s="12"/>
      <c r="L85" s="12"/>
      <c r="M85" s="12"/>
      <c r="N85" s="12"/>
      <c r="O85" s="12"/>
      <c r="P85" s="12"/>
      <c r="Q85" s="12">
        <v>120</v>
      </c>
      <c r="R85" s="12"/>
      <c r="S85" s="12"/>
      <c r="T85" s="13"/>
      <c r="U85" s="18">
        <f t="shared" si="8"/>
        <v>27655</v>
      </c>
    </row>
    <row r="86" ht="15.75" customHeight="1" spans="2:21" x14ac:dyDescent="0.25">
      <c r="B86" s="12" t="s">
        <v>136</v>
      </c>
      <c r="C86" s="12">
        <v>84</v>
      </c>
      <c r="D86" s="12" t="s">
        <v>13</v>
      </c>
      <c r="E86" s="12" t="s">
        <v>104</v>
      </c>
      <c r="F86" s="12">
        <v>2500</v>
      </c>
      <c r="G86" s="1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>
        <v>2500</v>
      </c>
      <c r="S86" s="12"/>
      <c r="T86" s="13"/>
      <c r="U86" s="18">
        <f t="shared" si="8"/>
        <v>25155</v>
      </c>
    </row>
    <row r="87" ht="15.75" customHeight="1" spans="2:21" x14ac:dyDescent="0.25">
      <c r="B87" s="12"/>
      <c r="C87" s="12">
        <v>85</v>
      </c>
      <c r="D87" s="12" t="s">
        <v>137</v>
      </c>
      <c r="E87" s="12" t="s">
        <v>138</v>
      </c>
      <c r="F87" s="12">
        <v>1000</v>
      </c>
      <c r="G87" s="13"/>
      <c r="H87" s="12"/>
      <c r="I87" s="12"/>
      <c r="J87" s="12"/>
      <c r="K87" s="12"/>
      <c r="L87" s="12"/>
      <c r="M87" s="12"/>
      <c r="N87" s="12"/>
      <c r="O87" s="12"/>
      <c r="P87" s="12"/>
      <c r="Q87" s="12">
        <v>1000</v>
      </c>
      <c r="R87" s="12"/>
      <c r="S87" s="12"/>
      <c r="T87" s="13"/>
      <c r="U87" s="18">
        <f t="shared" si="8"/>
        <v>24155</v>
      </c>
    </row>
    <row r="88" ht="15.75" customHeight="1" spans="2:21" x14ac:dyDescent="0.25">
      <c r="B88" s="12"/>
      <c r="C88" s="12">
        <v>86</v>
      </c>
      <c r="D88" s="12" t="s">
        <v>139</v>
      </c>
      <c r="E88" s="12" t="s">
        <v>140</v>
      </c>
      <c r="F88" s="12">
        <v>700</v>
      </c>
      <c r="G88" s="13"/>
      <c r="H88" s="12"/>
      <c r="I88" s="12"/>
      <c r="J88" s="12"/>
      <c r="K88" s="12"/>
      <c r="L88" s="12"/>
      <c r="M88" s="12"/>
      <c r="N88" s="12"/>
      <c r="O88" s="12"/>
      <c r="P88" s="12"/>
      <c r="Q88" s="12">
        <v>700</v>
      </c>
      <c r="R88" s="12"/>
      <c r="S88" s="12"/>
      <c r="T88" s="13"/>
      <c r="U88" s="18">
        <f t="shared" si="8"/>
        <v>23455</v>
      </c>
    </row>
    <row r="89" ht="15.75" customHeight="1" spans="2:21" x14ac:dyDescent="0.25">
      <c r="B89" s="12"/>
      <c r="C89" s="12">
        <v>87</v>
      </c>
      <c r="D89" s="12" t="s">
        <v>90</v>
      </c>
      <c r="E89" s="12" t="s">
        <v>141</v>
      </c>
      <c r="F89" s="12">
        <v>360</v>
      </c>
      <c r="G89" s="13"/>
      <c r="H89" s="12"/>
      <c r="I89" s="12"/>
      <c r="J89" s="12"/>
      <c r="K89" s="12"/>
      <c r="L89" s="12"/>
      <c r="M89" s="12"/>
      <c r="N89" s="12"/>
      <c r="O89" s="12"/>
      <c r="P89" s="12"/>
      <c r="Q89" s="12">
        <v>360</v>
      </c>
      <c r="R89" s="12"/>
      <c r="S89" s="12"/>
      <c r="T89" s="13"/>
      <c r="U89" s="18">
        <f t="shared" si="8"/>
        <v>23095</v>
      </c>
    </row>
    <row r="90" ht="15.75" customHeight="1" spans="2:21" x14ac:dyDescent="0.25">
      <c r="B90" s="12"/>
      <c r="C90" s="35">
        <v>88</v>
      </c>
      <c r="D90" s="25" t="s">
        <v>142</v>
      </c>
      <c r="E90" s="25" t="s">
        <v>28</v>
      </c>
      <c r="F90" s="35">
        <v>1000</v>
      </c>
      <c r="G90" s="1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3"/>
      <c r="U90" s="18">
        <f t="shared" si="8"/>
        <v>22095</v>
      </c>
    </row>
    <row r="91" ht="15.75" customHeight="1" spans="2:21" x14ac:dyDescent="0.25">
      <c r="B91" s="12"/>
      <c r="C91" s="35">
        <v>89</v>
      </c>
      <c r="D91" s="25" t="s">
        <v>41</v>
      </c>
      <c r="E91" s="25" t="s">
        <v>52</v>
      </c>
      <c r="F91" s="35">
        <v>1400</v>
      </c>
      <c r="G91" s="13"/>
      <c r="H91" s="12">
        <v>14</v>
      </c>
      <c r="I91" s="12">
        <v>100</v>
      </c>
      <c r="J91" s="12">
        <v>1400</v>
      </c>
      <c r="K91" s="12"/>
      <c r="L91" s="12"/>
      <c r="M91" s="12"/>
      <c r="N91" s="12"/>
      <c r="O91" s="12"/>
      <c r="P91" s="12"/>
      <c r="Q91" s="12"/>
      <c r="R91" s="12"/>
      <c r="S91" s="12"/>
      <c r="T91" s="13"/>
      <c r="U91" s="18">
        <f t="shared" si="8"/>
        <v>20695</v>
      </c>
    </row>
    <row r="92" ht="15.75" customHeight="1" spans="2:21" x14ac:dyDescent="0.25">
      <c r="B92" s="12"/>
      <c r="C92" s="35">
        <v>90</v>
      </c>
      <c r="D92" s="26" t="s">
        <v>41</v>
      </c>
      <c r="E92" s="26" t="s">
        <v>54</v>
      </c>
      <c r="F92" s="29">
        <v>7200</v>
      </c>
      <c r="G92" s="13"/>
      <c r="H92" s="12">
        <v>72</v>
      </c>
      <c r="I92" s="12">
        <v>100</v>
      </c>
      <c r="J92" s="12">
        <v>7200</v>
      </c>
      <c r="K92" s="12"/>
      <c r="L92" s="12"/>
      <c r="M92" s="12"/>
      <c r="N92" s="12"/>
      <c r="O92" s="12"/>
      <c r="P92" s="12"/>
      <c r="Q92" s="12"/>
      <c r="R92" s="12"/>
      <c r="S92" s="12"/>
      <c r="T92" s="13"/>
      <c r="U92" s="18">
        <f t="shared" si="8"/>
        <v>13495</v>
      </c>
    </row>
    <row r="93" ht="15.75" customHeight="1" spans="2:21" x14ac:dyDescent="0.25">
      <c r="B93" s="12"/>
      <c r="C93" s="35">
        <v>91</v>
      </c>
      <c r="D93" s="26" t="s">
        <v>41</v>
      </c>
      <c r="E93" s="26" t="s">
        <v>121</v>
      </c>
      <c r="F93" s="26">
        <v>9400</v>
      </c>
      <c r="G93" s="13"/>
      <c r="H93" s="12">
        <v>94</v>
      </c>
      <c r="I93" s="12">
        <v>100</v>
      </c>
      <c r="J93" s="12">
        <v>9400</v>
      </c>
      <c r="K93" s="12"/>
      <c r="L93" s="12"/>
      <c r="M93" s="12"/>
      <c r="N93" s="12"/>
      <c r="O93" s="12"/>
      <c r="P93" s="12"/>
      <c r="Q93" s="12"/>
      <c r="R93" s="12"/>
      <c r="S93" s="12"/>
      <c r="T93" s="13"/>
      <c r="U93" s="18">
        <f t="shared" si="8"/>
        <v>4095</v>
      </c>
    </row>
    <row r="94" ht="15.75" customHeight="1" spans="2:21" x14ac:dyDescent="0.25">
      <c r="B94" s="25" t="s">
        <v>143</v>
      </c>
      <c r="C94" s="35">
        <v>92</v>
      </c>
      <c r="D94" s="26" t="s">
        <v>41</v>
      </c>
      <c r="E94" s="26" t="s">
        <v>144</v>
      </c>
      <c r="F94" s="29">
        <v>1200</v>
      </c>
      <c r="G94" s="13"/>
      <c r="H94" s="12">
        <v>12</v>
      </c>
      <c r="I94" s="12">
        <v>100</v>
      </c>
      <c r="J94" s="12">
        <f t="shared" ref="J94:J97" si="9">I94*H94</f>
        <v>1200</v>
      </c>
      <c r="K94" s="12"/>
      <c r="L94" s="12"/>
      <c r="M94" s="12"/>
      <c r="N94" s="12"/>
      <c r="O94" s="12"/>
      <c r="P94" s="12"/>
      <c r="Q94" s="12"/>
      <c r="R94" s="12"/>
      <c r="S94" s="12"/>
      <c r="T94" s="13"/>
      <c r="U94" s="18">
        <f t="shared" si="8"/>
        <v>2895</v>
      </c>
    </row>
    <row r="95" ht="15.75" customHeight="1" spans="2:21" x14ac:dyDescent="0.25">
      <c r="B95" s="25"/>
      <c r="C95" s="35">
        <v>93</v>
      </c>
      <c r="D95" s="26" t="s">
        <v>41</v>
      </c>
      <c r="E95" s="26" t="s">
        <v>128</v>
      </c>
      <c r="F95" s="29">
        <v>4000</v>
      </c>
      <c r="G95" s="13"/>
      <c r="H95" s="12">
        <v>40</v>
      </c>
      <c r="I95" s="12">
        <v>100</v>
      </c>
      <c r="J95" s="12">
        <f t="shared" si="9"/>
        <v>4000</v>
      </c>
      <c r="K95" s="12"/>
      <c r="L95" s="12"/>
      <c r="M95" s="12"/>
      <c r="N95" s="12"/>
      <c r="O95" s="12"/>
      <c r="P95" s="12"/>
      <c r="Q95" s="12"/>
      <c r="R95" s="12"/>
      <c r="S95" s="12"/>
      <c r="T95" s="13"/>
      <c r="U95" s="18">
        <f t="shared" si="8"/>
        <v>-1105</v>
      </c>
    </row>
    <row r="96" ht="15.75" customHeight="1" spans="2:21" x14ac:dyDescent="0.25">
      <c r="B96" s="25"/>
      <c r="C96" s="35">
        <v>94</v>
      </c>
      <c r="D96" s="26" t="s">
        <v>41</v>
      </c>
      <c r="E96" s="26" t="s">
        <v>121</v>
      </c>
      <c r="F96" s="29">
        <v>20000</v>
      </c>
      <c r="G96" s="13"/>
      <c r="H96" s="12">
        <v>200</v>
      </c>
      <c r="I96" s="12">
        <v>100</v>
      </c>
      <c r="J96" s="12">
        <f t="shared" si="9"/>
        <v>20000</v>
      </c>
      <c r="K96" s="12"/>
      <c r="L96" s="12"/>
      <c r="M96" s="12"/>
      <c r="N96" s="12"/>
      <c r="O96" s="12"/>
      <c r="P96" s="12"/>
      <c r="Q96" s="12"/>
      <c r="R96" s="12"/>
      <c r="S96" s="12"/>
      <c r="T96" s="13"/>
      <c r="U96" s="18">
        <f t="shared" si="8"/>
        <v>-21105</v>
      </c>
    </row>
    <row r="97" ht="15.75" customHeight="1" spans="2:21" x14ac:dyDescent="0.25">
      <c r="B97" s="25"/>
      <c r="C97" s="35">
        <v>95</v>
      </c>
      <c r="D97" s="26" t="s">
        <v>41</v>
      </c>
      <c r="E97" s="26" t="s">
        <v>91</v>
      </c>
      <c r="F97" s="29">
        <v>4400</v>
      </c>
      <c r="G97" s="13"/>
      <c r="H97" s="12">
        <v>44</v>
      </c>
      <c r="I97" s="12">
        <v>100</v>
      </c>
      <c r="J97" s="12">
        <f t="shared" si="9"/>
        <v>4400</v>
      </c>
      <c r="K97" s="12"/>
      <c r="L97" s="12"/>
      <c r="M97" s="12"/>
      <c r="N97" s="12"/>
      <c r="O97" s="12"/>
      <c r="P97" s="12"/>
      <c r="Q97" s="12"/>
      <c r="R97" s="12"/>
      <c r="S97" s="12"/>
      <c r="T97" s="13"/>
      <c r="U97" s="18">
        <f t="shared" si="8"/>
        <v>-25505</v>
      </c>
    </row>
    <row r="98" ht="15.75" customHeight="1" spans="2:21" x14ac:dyDescent="0.25">
      <c r="B98" s="25" t="s">
        <v>145</v>
      </c>
      <c r="C98" s="25"/>
      <c r="D98" s="26" t="s">
        <v>146</v>
      </c>
      <c r="E98" s="26"/>
      <c r="F98" s="26"/>
      <c r="G98" s="1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3"/>
      <c r="U98" s="18">
        <f>U97-F98+60000</f>
        <v>34495</v>
      </c>
    </row>
    <row r="99" ht="15.75" customHeight="1" spans="2:21" x14ac:dyDescent="0.25">
      <c r="B99" s="12"/>
      <c r="C99" s="35">
        <v>96</v>
      </c>
      <c r="D99" s="26" t="s">
        <v>147</v>
      </c>
      <c r="E99" s="26" t="s">
        <v>91</v>
      </c>
      <c r="F99" s="29">
        <v>3000</v>
      </c>
      <c r="G99" s="13"/>
      <c r="H99" s="12"/>
      <c r="I99" s="12"/>
      <c r="J99" s="12"/>
      <c r="K99" s="12"/>
      <c r="L99" s="12">
        <v>3000</v>
      </c>
      <c r="M99" s="12"/>
      <c r="N99" s="12"/>
      <c r="O99" s="12"/>
      <c r="P99" s="12"/>
      <c r="Q99" s="12"/>
      <c r="R99" s="12"/>
      <c r="S99" s="12"/>
      <c r="T99" s="13"/>
      <c r="U99" s="18">
        <f t="shared" ref="U99:U106" si="10">U98-F99</f>
        <v>31495</v>
      </c>
    </row>
    <row r="100" ht="15.75" customHeight="1" spans="2:21" x14ac:dyDescent="0.25">
      <c r="B100" s="12"/>
      <c r="C100" s="35">
        <v>97</v>
      </c>
      <c r="D100" s="26" t="s">
        <v>41</v>
      </c>
      <c r="E100" s="26" t="s">
        <v>128</v>
      </c>
      <c r="F100" s="29">
        <v>7800</v>
      </c>
      <c r="G100" s="13"/>
      <c r="H100" s="12">
        <v>78</v>
      </c>
      <c r="I100" s="12">
        <v>100</v>
      </c>
      <c r="J100" s="12">
        <v>7800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3"/>
      <c r="U100" s="18">
        <f t="shared" si="10"/>
        <v>23695</v>
      </c>
    </row>
    <row r="101" ht="15.75" customHeight="1" spans="2:21" x14ac:dyDescent="0.25">
      <c r="B101" s="12"/>
      <c r="C101" s="35">
        <v>98</v>
      </c>
      <c r="D101" s="26" t="s">
        <v>41</v>
      </c>
      <c r="E101" s="26" t="s">
        <v>54</v>
      </c>
      <c r="F101" s="29">
        <v>10600</v>
      </c>
      <c r="G101" s="13"/>
      <c r="H101" s="12">
        <v>106</v>
      </c>
      <c r="I101" s="12">
        <v>100</v>
      </c>
      <c r="J101" s="12">
        <v>10600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3"/>
      <c r="U101" s="18">
        <f t="shared" si="10"/>
        <v>13095</v>
      </c>
    </row>
    <row r="102" ht="15.75" customHeight="1" spans="2:21" x14ac:dyDescent="0.25">
      <c r="B102" s="26" t="s">
        <v>148</v>
      </c>
      <c r="C102" s="35">
        <v>99</v>
      </c>
      <c r="D102" s="26" t="s">
        <v>13</v>
      </c>
      <c r="E102" s="26" t="s">
        <v>104</v>
      </c>
      <c r="F102" s="29">
        <v>2500</v>
      </c>
      <c r="G102" s="13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2500</v>
      </c>
      <c r="S102" s="12"/>
      <c r="T102" s="13"/>
      <c r="U102" s="18">
        <f t="shared" si="10"/>
        <v>10595</v>
      </c>
    </row>
    <row r="103" ht="15.75" customHeight="1" spans="2:21" x14ac:dyDescent="0.25">
      <c r="B103" s="26"/>
      <c r="C103" s="35">
        <v>100</v>
      </c>
      <c r="D103" s="26" t="s">
        <v>90</v>
      </c>
      <c r="E103" s="26" t="s">
        <v>108</v>
      </c>
      <c r="F103" s="29">
        <v>380</v>
      </c>
      <c r="G103" s="13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3"/>
      <c r="U103" s="18">
        <f t="shared" si="10"/>
        <v>10215</v>
      </c>
    </row>
    <row r="104" ht="15.75" customHeight="1" spans="2:21" x14ac:dyDescent="0.25">
      <c r="B104" s="26"/>
      <c r="C104" s="35">
        <v>101</v>
      </c>
      <c r="D104" s="26" t="s">
        <v>149</v>
      </c>
      <c r="E104" s="26" t="s">
        <v>150</v>
      </c>
      <c r="F104" s="29">
        <v>850</v>
      </c>
      <c r="G104" s="13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3"/>
      <c r="U104" s="18">
        <f t="shared" si="10"/>
        <v>9365</v>
      </c>
    </row>
    <row r="105" ht="15.75" customHeight="1" spans="2:21" x14ac:dyDescent="0.25">
      <c r="B105" s="26"/>
      <c r="C105" s="35">
        <v>102</v>
      </c>
      <c r="D105" s="26" t="s">
        <v>41</v>
      </c>
      <c r="E105" s="26" t="s">
        <v>151</v>
      </c>
      <c r="F105" s="29">
        <v>6800</v>
      </c>
      <c r="G105" s="13"/>
      <c r="H105" s="12">
        <v>68</v>
      </c>
      <c r="I105" s="12">
        <v>100</v>
      </c>
      <c r="J105" s="12">
        <v>6800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3"/>
      <c r="U105" s="18">
        <f t="shared" si="10"/>
        <v>2565</v>
      </c>
    </row>
    <row r="106" ht="15.75" customHeight="1" spans="2:21" x14ac:dyDescent="0.25">
      <c r="B106" s="12"/>
      <c r="C106" s="35">
        <v>103</v>
      </c>
      <c r="D106" s="26" t="s">
        <v>41</v>
      </c>
      <c r="E106" s="26" t="s">
        <v>54</v>
      </c>
      <c r="F106" s="29">
        <v>11500</v>
      </c>
      <c r="G106" s="13"/>
      <c r="H106" s="12">
        <v>115</v>
      </c>
      <c r="I106" s="12">
        <v>100</v>
      </c>
      <c r="J106" s="12">
        <v>11500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3"/>
      <c r="U106" s="18">
        <f t="shared" si="10"/>
        <v>-8935</v>
      </c>
    </row>
    <row r="107" ht="15.75" customHeight="1" spans="2:21" x14ac:dyDescent="0.25">
      <c r="B107" s="12" t="s">
        <v>152</v>
      </c>
      <c r="C107" s="26"/>
      <c r="D107" s="26" t="s">
        <v>146</v>
      </c>
      <c r="E107" s="26"/>
      <c r="F107" s="26"/>
      <c r="G107" s="1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3"/>
      <c r="U107" s="18">
        <f>U106-F107+60000</f>
        <v>51065</v>
      </c>
    </row>
    <row r="108" ht="15.75" customHeight="1" spans="2:21" x14ac:dyDescent="0.25">
      <c r="B108" s="12"/>
      <c r="C108" s="30">
        <v>104</v>
      </c>
      <c r="D108" s="26" t="s">
        <v>41</v>
      </c>
      <c r="E108" s="27" t="s">
        <v>153</v>
      </c>
      <c r="F108" s="33">
        <v>1400</v>
      </c>
      <c r="G108" s="13"/>
      <c r="H108" s="12">
        <v>14</v>
      </c>
      <c r="I108" s="12">
        <v>100</v>
      </c>
      <c r="J108" s="12">
        <v>1400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3"/>
      <c r="U108" s="18">
        <f t="shared" ref="U108:U127" si="11">U107-F108</f>
        <v>49665</v>
      </c>
    </row>
    <row r="109" ht="15.75" customHeight="1" spans="2:21" x14ac:dyDescent="0.25">
      <c r="B109" s="12"/>
      <c r="C109" s="30">
        <v>105</v>
      </c>
      <c r="D109" s="28" t="s">
        <v>41</v>
      </c>
      <c r="E109" s="25" t="s">
        <v>54</v>
      </c>
      <c r="F109" s="35">
        <v>2500</v>
      </c>
      <c r="G109" s="13"/>
      <c r="H109" s="12">
        <v>25</v>
      </c>
      <c r="I109" s="12">
        <v>100</v>
      </c>
      <c r="J109" s="12">
        <v>2500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3"/>
      <c r="U109" s="18">
        <f t="shared" si="11"/>
        <v>47165</v>
      </c>
    </row>
    <row r="110" ht="15.75" customHeight="1" spans="2:21" x14ac:dyDescent="0.25">
      <c r="B110" s="12"/>
      <c r="C110" s="30">
        <v>106</v>
      </c>
      <c r="D110" s="28" t="s">
        <v>110</v>
      </c>
      <c r="E110" s="25" t="s">
        <v>119</v>
      </c>
      <c r="F110" s="35">
        <v>500</v>
      </c>
      <c r="G110" s="13"/>
      <c r="H110" s="12"/>
      <c r="I110" s="12"/>
      <c r="J110" s="12"/>
      <c r="K110" s="12"/>
      <c r="L110" s="12"/>
      <c r="M110" s="12"/>
      <c r="N110" s="12">
        <v>500</v>
      </c>
      <c r="O110" s="12"/>
      <c r="P110" s="12"/>
      <c r="Q110" s="12"/>
      <c r="R110" s="12"/>
      <c r="S110" s="12"/>
      <c r="T110" s="13"/>
      <c r="U110" s="18">
        <f t="shared" si="11"/>
        <v>46665</v>
      </c>
    </row>
    <row r="111" ht="15.75" customHeight="1" spans="2:21" x14ac:dyDescent="0.25">
      <c r="B111" s="26" t="s">
        <v>154</v>
      </c>
      <c r="C111" s="30">
        <v>107</v>
      </c>
      <c r="D111" s="27" t="s">
        <v>41</v>
      </c>
      <c r="E111" s="27" t="s">
        <v>54</v>
      </c>
      <c r="F111" s="33">
        <v>5900</v>
      </c>
      <c r="G111" s="13"/>
      <c r="H111" s="12">
        <v>59</v>
      </c>
      <c r="I111" s="12">
        <v>100</v>
      </c>
      <c r="J111" s="12">
        <v>5900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3"/>
      <c r="U111" s="18">
        <f t="shared" si="11"/>
        <v>40765</v>
      </c>
    </row>
    <row r="112" ht="15.75" customHeight="1" spans="2:21" x14ac:dyDescent="0.25">
      <c r="B112" s="28"/>
      <c r="C112" s="30">
        <v>108</v>
      </c>
      <c r="D112" s="25" t="s">
        <v>41</v>
      </c>
      <c r="E112" s="25" t="s">
        <v>155</v>
      </c>
      <c r="F112" s="35">
        <v>7700</v>
      </c>
      <c r="G112" s="13"/>
      <c r="H112" s="12">
        <v>77</v>
      </c>
      <c r="I112" s="12">
        <v>100</v>
      </c>
      <c r="J112" s="12">
        <v>77000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3"/>
      <c r="U112" s="18">
        <f t="shared" si="11"/>
        <v>33065</v>
      </c>
    </row>
    <row r="113" ht="15.75" customHeight="1" spans="2:21" x14ac:dyDescent="0.25">
      <c r="B113" s="28"/>
      <c r="C113" s="30">
        <v>109</v>
      </c>
      <c r="D113" s="25" t="s">
        <v>41</v>
      </c>
      <c r="E113" s="25" t="s">
        <v>60</v>
      </c>
      <c r="F113" s="35">
        <v>1900</v>
      </c>
      <c r="G113" s="13"/>
      <c r="H113" s="12">
        <v>19</v>
      </c>
      <c r="I113" s="12">
        <v>100</v>
      </c>
      <c r="J113" s="12">
        <v>1900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3"/>
      <c r="U113" s="18">
        <f t="shared" si="11"/>
        <v>31165</v>
      </c>
    </row>
    <row r="114" ht="15.75" customHeight="1" spans="2:21" x14ac:dyDescent="0.25">
      <c r="B114" s="12" t="s">
        <v>156</v>
      </c>
      <c r="C114" s="30">
        <v>110</v>
      </c>
      <c r="D114" s="12" t="s">
        <v>157</v>
      </c>
      <c r="E114" s="12" t="s">
        <v>158</v>
      </c>
      <c r="F114" s="12">
        <v>1040</v>
      </c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3"/>
      <c r="U114" s="18">
        <f t="shared" si="11"/>
        <v>30125</v>
      </c>
    </row>
    <row r="115" ht="15.75" customHeight="1" spans="2:21" x14ac:dyDescent="0.25">
      <c r="B115" s="38" t="s">
        <v>159</v>
      </c>
      <c r="C115" s="30">
        <v>111</v>
      </c>
      <c r="D115" s="39" t="s">
        <v>160</v>
      </c>
      <c r="E115" s="39" t="s">
        <v>161</v>
      </c>
      <c r="F115" s="33">
        <v>500</v>
      </c>
      <c r="G115" s="13"/>
      <c r="H115" s="12">
        <v>10</v>
      </c>
      <c r="I115" s="12">
        <v>50</v>
      </c>
      <c r="J115" s="12">
        <v>500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3"/>
      <c r="U115" s="18">
        <f t="shared" si="11"/>
        <v>29625</v>
      </c>
    </row>
    <row r="116" ht="15.75" customHeight="1" spans="2:21" x14ac:dyDescent="0.25">
      <c r="B116" s="28"/>
      <c r="C116" s="30">
        <v>112</v>
      </c>
      <c r="D116" s="40" t="s">
        <v>160</v>
      </c>
      <c r="E116" s="40" t="s">
        <v>162</v>
      </c>
      <c r="F116" s="35">
        <v>2520</v>
      </c>
      <c r="G116" s="13"/>
      <c r="H116" s="12">
        <v>42</v>
      </c>
      <c r="I116" s="12">
        <v>60</v>
      </c>
      <c r="J116" s="12">
        <f>H116*I116</f>
        <v>2520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3"/>
      <c r="U116" s="18">
        <f t="shared" si="11"/>
        <v>27105</v>
      </c>
    </row>
    <row r="117" ht="15.75" customHeight="1" spans="2:21" x14ac:dyDescent="0.25">
      <c r="B117" s="28"/>
      <c r="C117" s="30">
        <v>113</v>
      </c>
      <c r="D117" s="40" t="s">
        <v>163</v>
      </c>
      <c r="E117" s="40" t="s">
        <v>164</v>
      </c>
      <c r="F117" s="35">
        <v>4400</v>
      </c>
      <c r="G117" s="13"/>
      <c r="H117" s="12"/>
      <c r="I117" s="12"/>
      <c r="J117" s="12"/>
      <c r="K117" s="12"/>
      <c r="L117" s="12">
        <v>4400</v>
      </c>
      <c r="M117" s="12"/>
      <c r="N117" s="12"/>
      <c r="O117" s="12"/>
      <c r="P117" s="12"/>
      <c r="Q117" s="12"/>
      <c r="R117" s="12"/>
      <c r="S117" s="12"/>
      <c r="T117" s="13"/>
      <c r="U117" s="18">
        <f t="shared" si="11"/>
        <v>22705</v>
      </c>
    </row>
    <row r="118" ht="15.75" customHeight="1" spans="2:21" x14ac:dyDescent="0.25">
      <c r="B118" s="28"/>
      <c r="C118" s="30">
        <v>114</v>
      </c>
      <c r="D118" s="40" t="s">
        <v>165</v>
      </c>
      <c r="E118" s="40" t="s">
        <v>119</v>
      </c>
      <c r="F118" s="35">
        <v>1500</v>
      </c>
      <c r="G118" s="13"/>
      <c r="H118" s="12"/>
      <c r="I118" s="12"/>
      <c r="J118" s="12"/>
      <c r="K118" s="12"/>
      <c r="L118" s="12"/>
      <c r="M118" s="12"/>
      <c r="N118" s="12">
        <v>1500</v>
      </c>
      <c r="O118" s="12"/>
      <c r="P118" s="12"/>
      <c r="Q118" s="12"/>
      <c r="R118" s="12"/>
      <c r="S118" s="12"/>
      <c r="T118" s="13"/>
      <c r="U118" s="18">
        <f t="shared" si="11"/>
        <v>21205</v>
      </c>
    </row>
    <row r="119" ht="15.75" customHeight="1" spans="2:21" x14ac:dyDescent="0.25">
      <c r="B119" s="28"/>
      <c r="C119" s="30">
        <v>115</v>
      </c>
      <c r="D119" s="40" t="s">
        <v>166</v>
      </c>
      <c r="E119" s="40" t="s">
        <v>167</v>
      </c>
      <c r="F119" s="35">
        <v>500</v>
      </c>
      <c r="G119" s="13"/>
      <c r="H119" s="12"/>
      <c r="I119" s="12"/>
      <c r="J119" s="12"/>
      <c r="K119" s="12"/>
      <c r="L119" s="12"/>
      <c r="M119" s="12"/>
      <c r="N119" s="12">
        <v>500</v>
      </c>
      <c r="O119" s="12"/>
      <c r="P119" s="12"/>
      <c r="Q119" s="12"/>
      <c r="R119" s="12"/>
      <c r="S119" s="12"/>
      <c r="T119" s="13"/>
      <c r="U119" s="18">
        <f t="shared" si="11"/>
        <v>20705</v>
      </c>
    </row>
    <row r="120" ht="15.75" customHeight="1" spans="2:21" x14ac:dyDescent="0.25">
      <c r="B120" s="28"/>
      <c r="C120" s="30">
        <v>116</v>
      </c>
      <c r="D120" s="40" t="s">
        <v>168</v>
      </c>
      <c r="E120" s="40" t="s">
        <v>169</v>
      </c>
      <c r="F120" s="35">
        <v>800</v>
      </c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>
        <v>800</v>
      </c>
      <c r="R120" s="12"/>
      <c r="S120" s="12"/>
      <c r="T120" s="13"/>
      <c r="U120" s="18">
        <f t="shared" si="11"/>
        <v>19905</v>
      </c>
    </row>
    <row r="121" ht="15.75" customHeight="1" spans="2:21" x14ac:dyDescent="0.25">
      <c r="B121" s="26"/>
      <c r="C121" s="30">
        <v>117</v>
      </c>
      <c r="D121" s="38" t="s">
        <v>170</v>
      </c>
      <c r="E121" s="38" t="s">
        <v>54</v>
      </c>
      <c r="F121" s="29">
        <v>9500</v>
      </c>
      <c r="G121" s="13"/>
      <c r="H121" s="12">
        <v>95</v>
      </c>
      <c r="I121" s="12">
        <v>100</v>
      </c>
      <c r="J121" s="12">
        <f>H121*I121</f>
        <v>9500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4"/>
      <c r="U121" s="18">
        <f t="shared" si="11"/>
        <v>10405</v>
      </c>
    </row>
    <row r="122" ht="15.75" customHeight="1" spans="2:21" x14ac:dyDescent="0.25">
      <c r="B122" s="26"/>
      <c r="C122" s="30">
        <v>118</v>
      </c>
      <c r="D122" s="38" t="s">
        <v>171</v>
      </c>
      <c r="E122" s="38" t="s">
        <v>28</v>
      </c>
      <c r="F122" s="29">
        <v>760</v>
      </c>
      <c r="G122" s="13"/>
      <c r="H122" s="12"/>
      <c r="I122" s="12"/>
      <c r="J122" s="12"/>
      <c r="K122" s="12"/>
      <c r="L122" s="12"/>
      <c r="M122" s="12">
        <v>760</v>
      </c>
      <c r="N122" s="12"/>
      <c r="O122" s="12"/>
      <c r="P122" s="12"/>
      <c r="Q122" s="12"/>
      <c r="R122" s="12"/>
      <c r="S122" s="12"/>
      <c r="T122" s="14"/>
      <c r="U122" s="18">
        <f t="shared" si="11"/>
        <v>9645</v>
      </c>
    </row>
    <row r="123" ht="15.75" customHeight="1" spans="2:21" x14ac:dyDescent="0.25">
      <c r="B123" s="12" t="s">
        <v>172</v>
      </c>
      <c r="C123" s="30">
        <v>119</v>
      </c>
      <c r="D123" s="38" t="s">
        <v>98</v>
      </c>
      <c r="E123" s="27" t="s">
        <v>167</v>
      </c>
      <c r="F123" s="33">
        <v>500</v>
      </c>
      <c r="G123" s="13"/>
      <c r="H123" s="12"/>
      <c r="I123" s="12"/>
      <c r="J123" s="12"/>
      <c r="K123" s="12"/>
      <c r="L123" s="12"/>
      <c r="M123" s="12"/>
      <c r="N123" s="12">
        <v>500</v>
      </c>
      <c r="O123" s="12"/>
      <c r="P123" s="12"/>
      <c r="Q123" s="12"/>
      <c r="R123" s="12"/>
      <c r="S123" s="12"/>
      <c r="T123" s="14"/>
      <c r="U123" s="18">
        <f t="shared" si="11"/>
        <v>9145</v>
      </c>
    </row>
    <row r="124" ht="15.75" customHeight="1" spans="2:21" x14ac:dyDescent="0.25">
      <c r="B124" s="12"/>
      <c r="C124" s="30">
        <v>120</v>
      </c>
      <c r="D124" s="41" t="s">
        <v>173</v>
      </c>
      <c r="E124" s="40" t="s">
        <v>174</v>
      </c>
      <c r="F124" s="35">
        <v>2760</v>
      </c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>
        <v>2760</v>
      </c>
      <c r="R124" s="12"/>
      <c r="S124" s="12"/>
      <c r="T124" s="14"/>
      <c r="U124" s="18">
        <f t="shared" si="11"/>
        <v>6385</v>
      </c>
    </row>
    <row r="125" ht="15.75" customHeight="1" spans="2:21" x14ac:dyDescent="0.25">
      <c r="B125" s="12"/>
      <c r="C125" s="30">
        <v>121</v>
      </c>
      <c r="D125" s="41" t="s">
        <v>175</v>
      </c>
      <c r="E125" s="40" t="s">
        <v>176</v>
      </c>
      <c r="F125" s="35">
        <v>550</v>
      </c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>
        <v>550</v>
      </c>
      <c r="R125" s="12"/>
      <c r="S125" s="12"/>
      <c r="T125" s="14"/>
      <c r="U125" s="18">
        <f t="shared" si="11"/>
        <v>5835</v>
      </c>
    </row>
    <row r="126" ht="15.75" customHeight="1" spans="2:21" x14ac:dyDescent="0.25">
      <c r="B126" s="12"/>
      <c r="C126" s="30">
        <v>122</v>
      </c>
      <c r="D126" s="41" t="s">
        <v>13</v>
      </c>
      <c r="E126" s="40" t="s">
        <v>104</v>
      </c>
      <c r="F126" s="35">
        <v>2500</v>
      </c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>
        <v>2500</v>
      </c>
      <c r="S126" s="12"/>
      <c r="T126" s="14"/>
      <c r="U126" s="18">
        <f t="shared" si="11"/>
        <v>3335</v>
      </c>
    </row>
    <row r="127" ht="15.75" customHeight="1" spans="2:21" x14ac:dyDescent="0.25">
      <c r="B127" s="12"/>
      <c r="C127" s="30">
        <v>123</v>
      </c>
      <c r="D127" s="41" t="s">
        <v>57</v>
      </c>
      <c r="E127" s="40" t="s">
        <v>141</v>
      </c>
      <c r="F127" s="35">
        <v>380</v>
      </c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>
        <v>300</v>
      </c>
      <c r="R127" s="12"/>
      <c r="S127" s="12"/>
      <c r="T127" s="14"/>
      <c r="U127" s="18">
        <f t="shared" si="11"/>
        <v>2955</v>
      </c>
    </row>
    <row r="128" ht="15.75" customHeight="1" spans="2:21" x14ac:dyDescent="0.25">
      <c r="B128" s="12"/>
      <c r="C128" s="30">
        <v>124</v>
      </c>
      <c r="D128" s="41" t="s">
        <v>177</v>
      </c>
      <c r="E128" s="25"/>
      <c r="F128" s="25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4"/>
      <c r="U128" s="18">
        <f>U127-F128+60000</f>
        <v>62955</v>
      </c>
    </row>
    <row r="129" ht="15.75" customHeight="1" spans="2:21" x14ac:dyDescent="0.25">
      <c r="B129" s="12"/>
      <c r="C129" s="30">
        <v>125</v>
      </c>
      <c r="D129" s="38" t="s">
        <v>41</v>
      </c>
      <c r="E129" s="38" t="s">
        <v>54</v>
      </c>
      <c r="F129" s="29">
        <v>6600</v>
      </c>
      <c r="G129" s="13"/>
      <c r="H129" s="12">
        <v>66</v>
      </c>
      <c r="I129" s="12">
        <v>100</v>
      </c>
      <c r="J129" s="12">
        <v>6600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3"/>
      <c r="U129" s="18">
        <f t="shared" ref="U129:U146" si="12">U128-F129</f>
        <v>56355</v>
      </c>
    </row>
    <row r="130" ht="15.75" customHeight="1" spans="2:21" x14ac:dyDescent="0.25">
      <c r="B130" s="12"/>
      <c r="C130" s="30">
        <v>126</v>
      </c>
      <c r="D130" s="38" t="s">
        <v>41</v>
      </c>
      <c r="E130" s="38" t="s">
        <v>178</v>
      </c>
      <c r="F130" s="29">
        <v>3800</v>
      </c>
      <c r="G130" s="13"/>
      <c r="H130" s="12">
        <v>38</v>
      </c>
      <c r="I130" s="12">
        <v>100</v>
      </c>
      <c r="J130" s="12">
        <v>3800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3"/>
      <c r="U130" s="18">
        <f t="shared" si="12"/>
        <v>52555</v>
      </c>
    </row>
    <row r="131" ht="15.75" customHeight="1" spans="2:21" x14ac:dyDescent="0.25">
      <c r="B131" s="12"/>
      <c r="C131" s="30">
        <v>127</v>
      </c>
      <c r="D131" s="38" t="s">
        <v>179</v>
      </c>
      <c r="E131" s="26" t="s">
        <v>180</v>
      </c>
      <c r="F131" s="29">
        <v>350</v>
      </c>
      <c r="G131" s="13"/>
      <c r="H131" s="12">
        <v>3.5</v>
      </c>
      <c r="I131" s="12">
        <v>100</v>
      </c>
      <c r="J131" s="12">
        <v>300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3"/>
      <c r="U131" s="18">
        <f t="shared" si="12"/>
        <v>52205</v>
      </c>
    </row>
    <row r="132" ht="15.75" customHeight="1" spans="2:21" x14ac:dyDescent="0.25">
      <c r="B132" s="12"/>
      <c r="C132" s="30">
        <v>128</v>
      </c>
      <c r="D132" s="38" t="s">
        <v>181</v>
      </c>
      <c r="E132" s="38" t="s">
        <v>182</v>
      </c>
      <c r="F132" s="29">
        <v>350</v>
      </c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>
        <v>350</v>
      </c>
      <c r="R132" s="12"/>
      <c r="S132" s="12"/>
      <c r="T132" s="13"/>
      <c r="U132" s="18">
        <f t="shared" si="12"/>
        <v>51855</v>
      </c>
    </row>
    <row r="133" ht="15.75" customHeight="1" spans="2:21" x14ac:dyDescent="0.25">
      <c r="B133" s="12"/>
      <c r="C133" s="30">
        <v>129</v>
      </c>
      <c r="D133" s="38" t="s">
        <v>183</v>
      </c>
      <c r="E133" s="38" t="s">
        <v>184</v>
      </c>
      <c r="F133" s="29">
        <v>130</v>
      </c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>
        <v>130</v>
      </c>
      <c r="R133" s="12"/>
      <c r="S133" s="12"/>
      <c r="T133" s="13"/>
      <c r="U133" s="18">
        <f t="shared" si="12"/>
        <v>51725</v>
      </c>
    </row>
    <row r="134" ht="15.75" customHeight="1" spans="2:21" x14ac:dyDescent="0.25">
      <c r="B134" s="38" t="s">
        <v>185</v>
      </c>
      <c r="C134" s="30">
        <v>130</v>
      </c>
      <c r="D134" s="38" t="s">
        <v>98</v>
      </c>
      <c r="E134" s="38" t="s">
        <v>186</v>
      </c>
      <c r="F134" s="29">
        <v>500</v>
      </c>
      <c r="G134" s="13"/>
      <c r="H134" s="12"/>
      <c r="I134" s="12"/>
      <c r="J134" s="12"/>
      <c r="K134" s="12"/>
      <c r="L134" s="12"/>
      <c r="M134" s="12"/>
      <c r="N134" s="12">
        <v>500</v>
      </c>
      <c r="O134" s="12"/>
      <c r="P134" s="12"/>
      <c r="Q134" s="12"/>
      <c r="R134" s="12"/>
      <c r="S134" s="12"/>
      <c r="T134" s="13"/>
      <c r="U134" s="18">
        <f t="shared" si="12"/>
        <v>51225</v>
      </c>
    </row>
    <row r="135" ht="15.75" customHeight="1" spans="2:21" x14ac:dyDescent="0.25">
      <c r="B135" s="26"/>
      <c r="C135" s="30">
        <v>131</v>
      </c>
      <c r="D135" s="38" t="s">
        <v>41</v>
      </c>
      <c r="E135" s="38" t="s">
        <v>54</v>
      </c>
      <c r="F135" s="29">
        <v>9700</v>
      </c>
      <c r="G135" s="13"/>
      <c r="H135" s="12">
        <v>97</v>
      </c>
      <c r="I135" s="12">
        <v>100</v>
      </c>
      <c r="J135" s="12">
        <v>9700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3"/>
      <c r="U135" s="18">
        <f t="shared" si="12"/>
        <v>41525</v>
      </c>
    </row>
    <row r="136" ht="15.75" customHeight="1" spans="2:21" x14ac:dyDescent="0.25">
      <c r="B136" s="26"/>
      <c r="C136" s="26">
        <v>132</v>
      </c>
      <c r="D136" s="38" t="s">
        <v>181</v>
      </c>
      <c r="E136" s="26"/>
      <c r="F136" s="29">
        <v>400</v>
      </c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>
        <v>400</v>
      </c>
      <c r="R136" s="12"/>
      <c r="S136" s="12"/>
      <c r="T136" s="13"/>
      <c r="U136" s="18">
        <f t="shared" si="12"/>
        <v>41125</v>
      </c>
    </row>
    <row r="137" ht="15.75" customHeight="1" spans="2:21" x14ac:dyDescent="0.25">
      <c r="B137" s="26"/>
      <c r="C137" s="26">
        <v>133</v>
      </c>
      <c r="D137" s="38" t="s">
        <v>183</v>
      </c>
      <c r="E137" s="26"/>
      <c r="F137" s="29">
        <v>130</v>
      </c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>
        <v>130</v>
      </c>
      <c r="R137" s="12"/>
      <c r="S137" s="12"/>
      <c r="T137" s="13"/>
      <c r="U137" s="18">
        <f t="shared" si="12"/>
        <v>40995</v>
      </c>
    </row>
    <row r="138" ht="15.75" customHeight="1" spans="2:21" x14ac:dyDescent="0.25">
      <c r="B138" s="38" t="s">
        <v>187</v>
      </c>
      <c r="C138" s="29">
        <v>134</v>
      </c>
      <c r="D138" s="38" t="s">
        <v>188</v>
      </c>
      <c r="E138" s="26"/>
      <c r="F138" s="29">
        <v>500</v>
      </c>
      <c r="G138" s="13"/>
      <c r="H138" s="12"/>
      <c r="I138" s="12"/>
      <c r="J138" s="12"/>
      <c r="K138" s="12"/>
      <c r="L138" s="12"/>
      <c r="M138" s="12"/>
      <c r="N138" s="12">
        <v>500</v>
      </c>
      <c r="O138" s="12"/>
      <c r="P138" s="12"/>
      <c r="Q138" s="12"/>
      <c r="R138" s="12"/>
      <c r="S138" s="12"/>
      <c r="T138" s="13"/>
      <c r="U138" s="18">
        <f t="shared" si="12"/>
        <v>40495</v>
      </c>
    </row>
    <row r="139" ht="15.75" customHeight="1" spans="2:21" x14ac:dyDescent="0.25">
      <c r="B139" s="26"/>
      <c r="C139" s="29">
        <v>135</v>
      </c>
      <c r="D139" s="38" t="s">
        <v>189</v>
      </c>
      <c r="E139" s="26"/>
      <c r="F139" s="29">
        <v>500</v>
      </c>
      <c r="G139" s="13"/>
      <c r="H139" s="12"/>
      <c r="I139" s="12"/>
      <c r="J139" s="12"/>
      <c r="K139" s="12"/>
      <c r="L139" s="12">
        <v>500</v>
      </c>
      <c r="M139" s="12"/>
      <c r="N139" s="12"/>
      <c r="O139" s="12"/>
      <c r="P139" s="12"/>
      <c r="Q139" s="12"/>
      <c r="R139" s="12"/>
      <c r="S139" s="12"/>
      <c r="T139" s="13"/>
      <c r="U139" s="18">
        <f t="shared" si="12"/>
        <v>39995</v>
      </c>
    </row>
    <row r="140" ht="15.75" customHeight="1" spans="2:21" x14ac:dyDescent="0.25">
      <c r="B140" s="26"/>
      <c r="C140" s="29">
        <v>136</v>
      </c>
      <c r="D140" s="38" t="s">
        <v>190</v>
      </c>
      <c r="E140" s="26"/>
      <c r="F140" s="29">
        <v>855</v>
      </c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>
        <v>855</v>
      </c>
      <c r="R140" s="12"/>
      <c r="S140" s="12"/>
      <c r="T140" s="13"/>
      <c r="U140" s="18">
        <f t="shared" si="12"/>
        <v>39140</v>
      </c>
    </row>
    <row r="141" ht="15.75" customHeight="1" spans="2:21" x14ac:dyDescent="0.25">
      <c r="B141" s="12" t="s">
        <v>191</v>
      </c>
      <c r="C141" s="12">
        <v>137</v>
      </c>
      <c r="D141" s="12" t="s">
        <v>131</v>
      </c>
      <c r="E141" s="12" t="s">
        <v>192</v>
      </c>
      <c r="F141" s="12">
        <v>13500</v>
      </c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>
        <v>13500</v>
      </c>
      <c r="T141" s="13"/>
      <c r="U141" s="18">
        <f t="shared" si="12"/>
        <v>25640</v>
      </c>
    </row>
    <row r="142" ht="15.75" customHeight="1" spans="2:21" x14ac:dyDescent="0.25">
      <c r="B142" s="12"/>
      <c r="C142" s="12">
        <v>138</v>
      </c>
      <c r="D142" s="12" t="s">
        <v>98</v>
      </c>
      <c r="E142" s="12" t="s">
        <v>119</v>
      </c>
      <c r="F142" s="12">
        <v>500</v>
      </c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3"/>
      <c r="U142" s="18">
        <f t="shared" si="12"/>
        <v>25140</v>
      </c>
    </row>
    <row r="143" ht="15.75" customHeight="1" spans="2:21" x14ac:dyDescent="0.25">
      <c r="B143" s="12"/>
      <c r="C143" s="12">
        <v>139</v>
      </c>
      <c r="D143" s="12" t="s">
        <v>114</v>
      </c>
      <c r="E143" s="12" t="s">
        <v>193</v>
      </c>
      <c r="F143" s="12">
        <v>375</v>
      </c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3"/>
      <c r="U143" s="18">
        <f t="shared" si="12"/>
        <v>24765</v>
      </c>
    </row>
    <row r="144" ht="15.75" customHeight="1" spans="2:21" x14ac:dyDescent="0.25">
      <c r="B144" s="38" t="s">
        <v>194</v>
      </c>
      <c r="C144" s="26">
        <v>140</v>
      </c>
      <c r="D144" s="38" t="s">
        <v>195</v>
      </c>
      <c r="E144" s="26"/>
      <c r="F144" s="29">
        <v>1350</v>
      </c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>
        <v>1350</v>
      </c>
      <c r="R144" s="12"/>
      <c r="S144" s="12"/>
      <c r="T144" s="13"/>
      <c r="U144" s="18">
        <f t="shared" si="12"/>
        <v>23415</v>
      </c>
    </row>
    <row r="145" ht="15.75" customHeight="1" spans="2:21" x14ac:dyDescent="0.25">
      <c r="B145" s="26"/>
      <c r="C145" s="26">
        <v>141</v>
      </c>
      <c r="D145" s="38" t="s">
        <v>41</v>
      </c>
      <c r="E145" s="38" t="s">
        <v>196</v>
      </c>
      <c r="F145" s="29">
        <v>5400</v>
      </c>
      <c r="G145" s="13"/>
      <c r="H145" s="12">
        <v>54</v>
      </c>
      <c r="I145" s="12">
        <v>100</v>
      </c>
      <c r="J145" s="12">
        <v>5400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3"/>
      <c r="U145" s="18">
        <f t="shared" si="12"/>
        <v>18015</v>
      </c>
    </row>
    <row r="146" ht="15.75" customHeight="1" spans="2:21" x14ac:dyDescent="0.25">
      <c r="B146" s="26"/>
      <c r="C146" s="26">
        <v>142</v>
      </c>
      <c r="D146" s="38" t="s">
        <v>197</v>
      </c>
      <c r="E146" s="38" t="s">
        <v>119</v>
      </c>
      <c r="F146" s="29">
        <v>500</v>
      </c>
      <c r="G146" s="13"/>
      <c r="H146" s="12"/>
      <c r="I146" s="12"/>
      <c r="J146" s="12"/>
      <c r="K146" s="12"/>
      <c r="L146" s="12"/>
      <c r="M146" s="12"/>
      <c r="N146" s="12">
        <v>500</v>
      </c>
      <c r="O146" s="12"/>
      <c r="P146" s="12"/>
      <c r="Q146" s="12"/>
      <c r="R146" s="12"/>
      <c r="S146" s="12"/>
      <c r="T146" s="13"/>
      <c r="U146" s="18">
        <f t="shared" si="12"/>
        <v>17515</v>
      </c>
    </row>
    <row r="147" ht="15.75" customHeight="1" spans="2:21" x14ac:dyDescent="0.25">
      <c r="B147" s="26" t="s">
        <v>198</v>
      </c>
      <c r="C147" s="26"/>
      <c r="D147" s="26" t="s">
        <v>199</v>
      </c>
      <c r="E147" s="26"/>
      <c r="F147" s="26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3"/>
      <c r="U147" s="18">
        <f>U146-F147+35000</f>
        <v>52515</v>
      </c>
    </row>
    <row r="148" ht="15.75" customHeight="1" spans="2:21" x14ac:dyDescent="0.25">
      <c r="B148" s="26"/>
      <c r="C148" s="26">
        <v>143</v>
      </c>
      <c r="D148" s="26" t="s">
        <v>13</v>
      </c>
      <c r="E148" s="26" t="s">
        <v>52</v>
      </c>
      <c r="F148" s="29">
        <v>2500</v>
      </c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>
        <v>2500</v>
      </c>
      <c r="S148" s="12"/>
      <c r="T148" s="13"/>
      <c r="U148" s="18">
        <f t="shared" ref="U148:U151" si="13">U147-F148</f>
        <v>50015</v>
      </c>
    </row>
    <row r="149" ht="15.75" customHeight="1" spans="2:21" x14ac:dyDescent="0.25">
      <c r="B149" s="26"/>
      <c r="C149" s="26">
        <v>144</v>
      </c>
      <c r="D149" s="26" t="s">
        <v>41</v>
      </c>
      <c r="E149" s="26" t="s">
        <v>155</v>
      </c>
      <c r="F149" s="29">
        <v>14900</v>
      </c>
      <c r="G149" s="13"/>
      <c r="H149" s="12">
        <v>149</v>
      </c>
      <c r="I149" s="12">
        <v>100</v>
      </c>
      <c r="J149" s="12">
        <v>14900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3"/>
      <c r="U149" s="18">
        <f t="shared" si="13"/>
        <v>35115</v>
      </c>
    </row>
    <row r="150" ht="15.75" customHeight="1" spans="2:21" x14ac:dyDescent="0.25">
      <c r="B150" s="26"/>
      <c r="C150" s="26">
        <v>145</v>
      </c>
      <c r="D150" s="26" t="s">
        <v>41</v>
      </c>
      <c r="E150" s="26" t="s">
        <v>196</v>
      </c>
      <c r="F150" s="29">
        <v>3200</v>
      </c>
      <c r="G150" s="13"/>
      <c r="H150" s="12">
        <v>32</v>
      </c>
      <c r="I150" s="12">
        <v>100</v>
      </c>
      <c r="J150" s="12">
        <v>3200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3"/>
      <c r="U150" s="18">
        <f t="shared" si="13"/>
        <v>31915</v>
      </c>
    </row>
    <row r="151" ht="15.75" customHeight="1" spans="2:21" x14ac:dyDescent="0.25">
      <c r="B151" s="26"/>
      <c r="C151" s="26">
        <v>146</v>
      </c>
      <c r="D151" s="26" t="s">
        <v>41</v>
      </c>
      <c r="E151" s="26" t="s">
        <v>200</v>
      </c>
      <c r="F151" s="29">
        <v>37300</v>
      </c>
      <c r="G151" s="13"/>
      <c r="H151" s="12">
        <v>373</v>
      </c>
      <c r="I151" s="12">
        <v>100</v>
      </c>
      <c r="J151" s="12">
        <v>37300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3"/>
      <c r="U151" s="18">
        <f t="shared" si="13"/>
        <v>-5385</v>
      </c>
    </row>
    <row r="152" ht="15.75" customHeight="1" spans="2:21" x14ac:dyDescent="0.25">
      <c r="B152" s="26" t="s">
        <v>201</v>
      </c>
      <c r="C152" s="26"/>
      <c r="D152" s="26" t="s">
        <v>202</v>
      </c>
      <c r="E152" s="15"/>
      <c r="F152" s="15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3"/>
      <c r="U152" s="18">
        <f>U151-F152+20000</f>
        <v>14615</v>
      </c>
    </row>
    <row r="153" ht="15.75" customHeight="1" spans="2:21" x14ac:dyDescent="0.25">
      <c r="B153" s="26"/>
      <c r="C153" s="29">
        <v>147</v>
      </c>
      <c r="D153" s="26" t="s">
        <v>203</v>
      </c>
      <c r="E153" s="26"/>
      <c r="F153" s="29">
        <v>195</v>
      </c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>
        <v>195</v>
      </c>
      <c r="R153" s="12"/>
      <c r="S153" s="12"/>
      <c r="T153" s="13"/>
      <c r="U153" s="18">
        <f t="shared" ref="U153:U158" si="14">U152-F153</f>
        <v>14420</v>
      </c>
    </row>
    <row r="154" ht="15.75" customHeight="1" spans="2:21" x14ac:dyDescent="0.25">
      <c r="B154" s="26"/>
      <c r="C154" s="29">
        <v>148</v>
      </c>
      <c r="D154" s="26" t="s">
        <v>41</v>
      </c>
      <c r="E154" s="26" t="s">
        <v>196</v>
      </c>
      <c r="F154" s="29">
        <v>9300</v>
      </c>
      <c r="G154" s="13"/>
      <c r="H154" s="12">
        <v>93</v>
      </c>
      <c r="I154" s="12">
        <v>100</v>
      </c>
      <c r="J154" s="12">
        <v>9300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3"/>
      <c r="U154" s="18">
        <f t="shared" si="14"/>
        <v>5120</v>
      </c>
    </row>
    <row r="155" ht="15.75" customHeight="1" spans="2:21" x14ac:dyDescent="0.25"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3"/>
      <c r="U155" s="18">
        <f t="shared" si="14"/>
        <v>5120</v>
      </c>
    </row>
    <row r="156" ht="15.75" customHeight="1" spans="2:21" x14ac:dyDescent="0.25"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3"/>
      <c r="U156" s="18">
        <f t="shared" si="14"/>
        <v>5120</v>
      </c>
    </row>
    <row r="157" ht="15.75" customHeight="1" spans="2:21" x14ac:dyDescent="0.25"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3"/>
      <c r="U157" s="18">
        <f t="shared" si="14"/>
        <v>5120</v>
      </c>
    </row>
    <row r="158" ht="15.75" customHeight="1" spans="2:21" x14ac:dyDescent="0.25"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3"/>
      <c r="U158" s="18">
        <f t="shared" si="14"/>
        <v>5120</v>
      </c>
    </row>
    <row r="159" ht="15.75" customHeight="1" spans="2:21" x14ac:dyDescent="0.25"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3"/>
      <c r="U159" s="12"/>
    </row>
    <row r="160" ht="15.75" customHeight="1" spans="2:21" x14ac:dyDescent="0.25"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3"/>
      <c r="U160" s="12"/>
    </row>
    <row r="161" ht="15.75" customHeight="1" spans="2:21" x14ac:dyDescent="0.25">
      <c r="B161" s="12"/>
      <c r="C161" s="12"/>
      <c r="D161" s="12"/>
      <c r="E161" s="12"/>
      <c r="F161" s="18">
        <f>SUM(F9:F160)</f>
        <v>654485</v>
      </c>
      <c r="G161" s="13"/>
      <c r="H161" s="12">
        <f>SUM(H9:H160)</f>
        <v>4671.5</v>
      </c>
      <c r="I161" s="12"/>
      <c r="J161" s="12">
        <f t="shared" ref="J161:S161" si="15">SUM(J9:J160)</f>
        <v>528220</v>
      </c>
      <c r="K161" s="12">
        <f t="shared" si="15"/>
        <v>0</v>
      </c>
      <c r="L161" s="12">
        <f t="shared" si="15"/>
        <v>57280</v>
      </c>
      <c r="M161" s="12">
        <f t="shared" si="15"/>
        <v>1520</v>
      </c>
      <c r="N161" s="12">
        <f t="shared" si="15"/>
        <v>6800</v>
      </c>
      <c r="O161" s="12">
        <f t="shared" si="15"/>
        <v>0</v>
      </c>
      <c r="P161" s="12">
        <f t="shared" si="15"/>
        <v>940</v>
      </c>
      <c r="Q161" s="12">
        <f t="shared" si="15"/>
        <v>13690</v>
      </c>
      <c r="R161" s="12">
        <f t="shared" si="15"/>
        <v>17500</v>
      </c>
      <c r="S161" s="12">
        <f t="shared" si="15"/>
        <v>13500</v>
      </c>
      <c r="T161" s="13"/>
      <c r="U161" s="12"/>
    </row>
    <row r="162" ht="15.75" customHeight="1" spans="7:20" x14ac:dyDescent="0.25">
      <c r="G162" s="14"/>
      <c r="T162" s="14"/>
    </row>
    <row r="163" ht="15.75" customHeight="1" spans="7:20" x14ac:dyDescent="0.25">
      <c r="G163" s="14"/>
      <c r="T163" s="14"/>
    </row>
    <row r="164" ht="15.75" customHeight="1" spans="7:20" x14ac:dyDescent="0.25">
      <c r="G164" s="14"/>
      <c r="T164" s="14"/>
    </row>
    <row r="165" ht="15.75" customHeight="1" spans="7:20" x14ac:dyDescent="0.25">
      <c r="G165" s="14"/>
      <c r="T165" s="14"/>
    </row>
    <row r="166" ht="15.75" customHeight="1" spans="7:20" x14ac:dyDescent="0.25">
      <c r="G166" s="14"/>
      <c r="T166" s="14"/>
    </row>
    <row r="167" ht="15.75" customHeight="1" spans="7:20" x14ac:dyDescent="0.25">
      <c r="G167" s="14"/>
      <c r="T167" s="14"/>
    </row>
    <row r="168" ht="15.75" customHeight="1" spans="7:20" x14ac:dyDescent="0.25">
      <c r="G168" s="14"/>
      <c r="T168" s="14"/>
    </row>
    <row r="169" ht="15.75" customHeight="1" spans="7:20" x14ac:dyDescent="0.25">
      <c r="G169" s="14"/>
      <c r="T169" s="14"/>
    </row>
    <row r="170" ht="15.75" customHeight="1" spans="7:20" x14ac:dyDescent="0.25">
      <c r="G170" s="14"/>
      <c r="T170" s="14"/>
    </row>
    <row r="171" ht="15.75" customHeight="1" spans="7:20" x14ac:dyDescent="0.25">
      <c r="G171" s="14"/>
      <c r="T171" s="14"/>
    </row>
    <row r="172" ht="15.75" customHeight="1" spans="7:20" x14ac:dyDescent="0.25">
      <c r="G172" s="14"/>
      <c r="T172" s="14"/>
    </row>
    <row r="173" ht="15.75" customHeight="1" spans="7:20" x14ac:dyDescent="0.25">
      <c r="G173" s="14"/>
      <c r="T173" s="14"/>
    </row>
    <row r="174" ht="15.75" customHeight="1" spans="7:20" x14ac:dyDescent="0.25">
      <c r="G174" s="14"/>
      <c r="T174" s="14"/>
    </row>
    <row r="175" ht="15.75" customHeight="1" spans="7:20" x14ac:dyDescent="0.25">
      <c r="G175" s="14"/>
      <c r="T175" s="14"/>
    </row>
    <row r="176" ht="15.75" customHeight="1" spans="7:20" x14ac:dyDescent="0.25">
      <c r="G176" s="14"/>
      <c r="T176" s="14"/>
    </row>
    <row r="177" ht="15.75" customHeight="1" spans="7:20" x14ac:dyDescent="0.25">
      <c r="G177" s="14"/>
      <c r="T177" s="14"/>
    </row>
    <row r="178" ht="15.75" customHeight="1" spans="7:20" x14ac:dyDescent="0.25">
      <c r="G178" s="14"/>
      <c r="T178" s="14"/>
    </row>
    <row r="179" ht="15.75" customHeight="1" spans="7:20" x14ac:dyDescent="0.25">
      <c r="G179" s="14"/>
      <c r="T179" s="14"/>
    </row>
    <row r="180" ht="15.75" customHeight="1" spans="7:20" x14ac:dyDescent="0.25">
      <c r="G180" s="14"/>
      <c r="T180" s="14"/>
    </row>
    <row r="181" ht="15.75" customHeight="1" spans="7:20" x14ac:dyDescent="0.25">
      <c r="G181" s="14"/>
      <c r="T181" s="14"/>
    </row>
    <row r="182" ht="15.75" customHeight="1" spans="7:20" x14ac:dyDescent="0.25">
      <c r="G182" s="14"/>
      <c r="T182" s="14"/>
    </row>
    <row r="183" ht="15.75" customHeight="1" spans="7:20" x14ac:dyDescent="0.25">
      <c r="G183" s="14"/>
      <c r="T183" s="14"/>
    </row>
    <row r="184" ht="15.75" customHeight="1" spans="7:20" x14ac:dyDescent="0.25">
      <c r="G184" s="14"/>
      <c r="T184" s="14"/>
    </row>
    <row r="185" ht="15.75" customHeight="1" spans="7:20" x14ac:dyDescent="0.25">
      <c r="G185" s="14"/>
      <c r="T185" s="14"/>
    </row>
    <row r="186" ht="15.75" customHeight="1" spans="7:20" x14ac:dyDescent="0.25">
      <c r="G186" s="14"/>
      <c r="T186" s="14"/>
    </row>
    <row r="187" ht="15.75" customHeight="1" spans="7:20" x14ac:dyDescent="0.25">
      <c r="G187" s="14"/>
      <c r="T187" s="14"/>
    </row>
    <row r="188" ht="15.75" customHeight="1" spans="7:20" x14ac:dyDescent="0.25">
      <c r="G188" s="14"/>
      <c r="T188" s="14"/>
    </row>
    <row r="189" ht="15.75" customHeight="1" spans="7:20" x14ac:dyDescent="0.25">
      <c r="G189" s="14"/>
      <c r="T189" s="14"/>
    </row>
    <row r="190" ht="15.75" customHeight="1" spans="7:20" x14ac:dyDescent="0.25">
      <c r="G190" s="14"/>
      <c r="T190" s="14"/>
    </row>
    <row r="191" ht="15.75" customHeight="1" spans="7:20" x14ac:dyDescent="0.25">
      <c r="G191" s="14"/>
      <c r="T191" s="14"/>
    </row>
    <row r="192" ht="15.75" customHeight="1" spans="7:20" x14ac:dyDescent="0.25">
      <c r="G192" s="14"/>
      <c r="T192" s="14"/>
    </row>
    <row r="193" ht="15.75" customHeight="1" spans="7:20" x14ac:dyDescent="0.25">
      <c r="G193" s="14"/>
      <c r="T193" s="14"/>
    </row>
    <row r="194" ht="15.75" customHeight="1" spans="7:20" x14ac:dyDescent="0.25">
      <c r="G194" s="14"/>
      <c r="T194" s="14"/>
    </row>
    <row r="195" ht="15.75" customHeight="1" spans="7:20" x14ac:dyDescent="0.25">
      <c r="G195" s="14"/>
      <c r="T195" s="14"/>
    </row>
    <row r="196" ht="15.75" customHeight="1" spans="7:20" x14ac:dyDescent="0.25">
      <c r="G196" s="14"/>
      <c r="T196" s="14"/>
    </row>
    <row r="197" ht="15.75" customHeight="1" spans="7:20" x14ac:dyDescent="0.25">
      <c r="G197" s="14"/>
      <c r="T197" s="14"/>
    </row>
    <row r="198" ht="15.75" customHeight="1" spans="7:20" x14ac:dyDescent="0.25">
      <c r="G198" s="14"/>
      <c r="T198" s="14"/>
    </row>
    <row r="199" ht="15.75" customHeight="1" spans="7:20" x14ac:dyDescent="0.25">
      <c r="G199" s="14"/>
      <c r="T199" s="14"/>
    </row>
    <row r="200" ht="15.75" customHeight="1" spans="7:20" x14ac:dyDescent="0.25">
      <c r="G200" s="14"/>
      <c r="T200" s="14"/>
    </row>
    <row r="201" ht="15.75" customHeight="1" spans="7:20" x14ac:dyDescent="0.25">
      <c r="G201" s="14"/>
      <c r="T201" s="14"/>
    </row>
    <row r="202" ht="15.75" customHeight="1" spans="7:20" x14ac:dyDescent="0.25">
      <c r="G202" s="14"/>
      <c r="T202" s="14"/>
    </row>
    <row r="203" ht="15.75" customHeight="1" spans="7:20" x14ac:dyDescent="0.25">
      <c r="G203" s="14"/>
      <c r="T203" s="14"/>
    </row>
    <row r="204" ht="15.75" customHeight="1" spans="7:20" x14ac:dyDescent="0.25">
      <c r="G204" s="14"/>
      <c r="T204" s="14"/>
    </row>
    <row r="205" ht="15.75" customHeight="1" spans="7:20" x14ac:dyDescent="0.25">
      <c r="G205" s="14"/>
      <c r="T205" s="14"/>
    </row>
    <row r="206" ht="15.75" customHeight="1" spans="7:20" x14ac:dyDescent="0.25">
      <c r="G206" s="14"/>
      <c r="T206" s="14"/>
    </row>
    <row r="207" ht="15.75" customHeight="1" spans="7:20" x14ac:dyDescent="0.25">
      <c r="G207" s="14"/>
      <c r="T207" s="14"/>
    </row>
    <row r="208" ht="15.75" customHeight="1" spans="7:20" x14ac:dyDescent="0.25">
      <c r="G208" s="14"/>
      <c r="T208" s="14"/>
    </row>
    <row r="209" ht="15.75" customHeight="1" spans="7:20" x14ac:dyDescent="0.25">
      <c r="G209" s="14"/>
      <c r="T209" s="14"/>
    </row>
    <row r="210" ht="15.75" customHeight="1" spans="7:20" x14ac:dyDescent="0.25">
      <c r="G210" s="14"/>
      <c r="T210" s="14"/>
    </row>
    <row r="211" ht="15.75" customHeight="1" spans="7:20" x14ac:dyDescent="0.25">
      <c r="G211" s="14"/>
      <c r="T211" s="14"/>
    </row>
    <row r="212" ht="15.75" customHeight="1" spans="7:20" x14ac:dyDescent="0.25">
      <c r="G212" s="14"/>
      <c r="T212" s="14"/>
    </row>
    <row r="213" ht="15.75" customHeight="1" spans="7:20" x14ac:dyDescent="0.25">
      <c r="G213" s="14"/>
      <c r="T213" s="14"/>
    </row>
    <row r="214" ht="15.75" customHeight="1" spans="7:20" x14ac:dyDescent="0.25">
      <c r="G214" s="14"/>
      <c r="T214" s="14"/>
    </row>
    <row r="215" ht="15.75" customHeight="1" spans="7:20" x14ac:dyDescent="0.25">
      <c r="G215" s="14"/>
      <c r="T215" s="14"/>
    </row>
    <row r="216" ht="15.75" customHeight="1" spans="7:20" x14ac:dyDescent="0.25">
      <c r="G216" s="14"/>
      <c r="T216" s="14"/>
    </row>
    <row r="217" ht="15.75" customHeight="1" spans="7:20" x14ac:dyDescent="0.25">
      <c r="G217" s="14"/>
      <c r="T217" s="14"/>
    </row>
    <row r="218" ht="15.75" customHeight="1" spans="7:20" x14ac:dyDescent="0.25">
      <c r="G218" s="14"/>
      <c r="T218" s="14"/>
    </row>
    <row r="219" ht="15.75" customHeight="1" spans="7:20" x14ac:dyDescent="0.25">
      <c r="G219" s="14"/>
      <c r="T219" s="14"/>
    </row>
    <row r="220" ht="15.75" customHeight="1" spans="7:20" x14ac:dyDescent="0.25">
      <c r="G220" s="14"/>
      <c r="T220" s="14"/>
    </row>
    <row r="221" ht="15.75" customHeight="1" spans="7:20" x14ac:dyDescent="0.25">
      <c r="G221" s="14"/>
      <c r="T221" s="14"/>
    </row>
    <row r="222" ht="15.75" customHeight="1" spans="7:20" x14ac:dyDescent="0.25">
      <c r="G222" s="14"/>
      <c r="T222" s="14"/>
    </row>
    <row r="223" ht="15.75" customHeight="1" spans="7:20" x14ac:dyDescent="0.25">
      <c r="G223" s="14"/>
      <c r="T223" s="14"/>
    </row>
    <row r="224" ht="15.75" customHeight="1" spans="7:20" x14ac:dyDescent="0.25">
      <c r="G224" s="14"/>
      <c r="T224" s="14"/>
    </row>
    <row r="225" ht="15.75" customHeight="1" spans="7:20" x14ac:dyDescent="0.25">
      <c r="G225" s="14"/>
      <c r="T225" s="14"/>
    </row>
    <row r="226" ht="15.75" customHeight="1" spans="7:20" x14ac:dyDescent="0.25">
      <c r="G226" s="14"/>
      <c r="T226" s="14"/>
    </row>
    <row r="227" ht="15.75" customHeight="1" spans="7:20" x14ac:dyDescent="0.25">
      <c r="G227" s="14"/>
      <c r="T227" s="14"/>
    </row>
    <row r="228" ht="15.75" customHeight="1" spans="7:20" x14ac:dyDescent="0.25">
      <c r="G228" s="14"/>
      <c r="T228" s="14"/>
    </row>
    <row r="229" ht="15.75" customHeight="1" spans="7:20" x14ac:dyDescent="0.25">
      <c r="G229" s="14"/>
      <c r="T229" s="14"/>
    </row>
    <row r="230" ht="15.75" customHeight="1" spans="7:20" x14ac:dyDescent="0.25">
      <c r="G230" s="14"/>
      <c r="T230" s="14"/>
    </row>
    <row r="231" ht="15.75" customHeight="1" spans="7:20" x14ac:dyDescent="0.25">
      <c r="G231" s="14"/>
      <c r="T231" s="14"/>
    </row>
    <row r="232" ht="15.75" customHeight="1" spans="7:20" x14ac:dyDescent="0.25">
      <c r="G232" s="14"/>
      <c r="T232" s="14"/>
    </row>
    <row r="233" ht="15.75" customHeight="1" spans="7:20" x14ac:dyDescent="0.25">
      <c r="G233" s="14"/>
      <c r="T233" s="14"/>
    </row>
    <row r="234" ht="15.75" customHeight="1" spans="7:20" x14ac:dyDescent="0.25">
      <c r="G234" s="14"/>
      <c r="T234" s="14"/>
    </row>
    <row r="235" ht="15.75" customHeight="1" spans="7:20" x14ac:dyDescent="0.25">
      <c r="G235" s="14"/>
      <c r="T235" s="14"/>
    </row>
    <row r="236" ht="15.75" customHeight="1" spans="7:20" x14ac:dyDescent="0.25">
      <c r="G236" s="14"/>
      <c r="T236" s="14"/>
    </row>
    <row r="237" ht="15.75" customHeight="1" spans="7:20" x14ac:dyDescent="0.25">
      <c r="G237" s="14"/>
      <c r="T237" s="14"/>
    </row>
    <row r="238" ht="15.75" customHeight="1" spans="7:20" x14ac:dyDescent="0.25">
      <c r="G238" s="14"/>
      <c r="T238" s="14"/>
    </row>
    <row r="239" ht="15.75" customHeight="1" spans="7:20" x14ac:dyDescent="0.25">
      <c r="G239" s="14"/>
      <c r="T239" s="14"/>
    </row>
    <row r="240" ht="15.75" customHeight="1" spans="7:20" x14ac:dyDescent="0.25">
      <c r="G240" s="14"/>
      <c r="T240" s="14"/>
    </row>
    <row r="241" ht="15.75" customHeight="1" spans="7:20" x14ac:dyDescent="0.25">
      <c r="G241" s="14"/>
      <c r="T241" s="14"/>
    </row>
    <row r="242" ht="15.75" customHeight="1" spans="7:20" x14ac:dyDescent="0.25">
      <c r="G242" s="14"/>
      <c r="T242" s="14"/>
    </row>
    <row r="243" ht="15.75" customHeight="1" spans="7:20" x14ac:dyDescent="0.25">
      <c r="G243" s="14"/>
      <c r="T243" s="14"/>
    </row>
    <row r="244" ht="15.75" customHeight="1" spans="7:20" x14ac:dyDescent="0.25">
      <c r="G244" s="14"/>
      <c r="T244" s="14"/>
    </row>
    <row r="245" ht="15.75" customHeight="1" spans="7:20" x14ac:dyDescent="0.25">
      <c r="G245" s="14"/>
      <c r="T245" s="14"/>
    </row>
    <row r="246" ht="15.75" customHeight="1" spans="7:20" x14ac:dyDescent="0.25">
      <c r="G246" s="14"/>
      <c r="T246" s="14"/>
    </row>
    <row r="247" ht="15.75" customHeight="1" spans="7:20" x14ac:dyDescent="0.25">
      <c r="G247" s="14"/>
      <c r="T247" s="14"/>
    </row>
    <row r="248" ht="15.75" customHeight="1" spans="7:20" x14ac:dyDescent="0.25">
      <c r="G248" s="14"/>
      <c r="T248" s="14"/>
    </row>
    <row r="249" ht="15.75" customHeight="1" spans="7:20" x14ac:dyDescent="0.25">
      <c r="G249" s="14"/>
      <c r="T249" s="14"/>
    </row>
    <row r="250" ht="15.75" customHeight="1" spans="7:20" x14ac:dyDescent="0.25">
      <c r="G250" s="14"/>
      <c r="T250" s="14"/>
    </row>
    <row r="251" ht="15.75" customHeight="1" spans="7:20" x14ac:dyDescent="0.25">
      <c r="G251" s="14"/>
      <c r="T251" s="14"/>
    </row>
    <row r="252" ht="15.75" customHeight="1" spans="7:20" x14ac:dyDescent="0.25">
      <c r="G252" s="14"/>
      <c r="T252" s="14"/>
    </row>
    <row r="253" ht="15.75" customHeight="1" spans="7:20" x14ac:dyDescent="0.25">
      <c r="G253" s="14"/>
      <c r="T253" s="14"/>
    </row>
    <row r="254" ht="15.75" customHeight="1" spans="7:20" x14ac:dyDescent="0.25">
      <c r="G254" s="14"/>
      <c r="T254" s="14"/>
    </row>
    <row r="255" ht="15.75" customHeight="1" spans="7:20" x14ac:dyDescent="0.25">
      <c r="G255" s="14"/>
      <c r="T255" s="14"/>
    </row>
    <row r="256" ht="15.75" customHeight="1" spans="7:20" x14ac:dyDescent="0.25">
      <c r="G256" s="14"/>
      <c r="T256" s="14"/>
    </row>
    <row r="257" ht="15.75" customHeight="1" spans="7:20" x14ac:dyDescent="0.25">
      <c r="G257" s="14"/>
      <c r="T257" s="14"/>
    </row>
    <row r="258" ht="15.75" customHeight="1" spans="7:20" x14ac:dyDescent="0.25">
      <c r="G258" s="14"/>
      <c r="T258" s="14"/>
    </row>
    <row r="259" ht="15.75" customHeight="1" spans="7:20" x14ac:dyDescent="0.25">
      <c r="G259" s="14"/>
      <c r="T259" s="14"/>
    </row>
    <row r="260" ht="15.75" customHeight="1" spans="7:20" x14ac:dyDescent="0.25">
      <c r="G260" s="14"/>
      <c r="T260" s="14"/>
    </row>
    <row r="261" ht="15.75" customHeight="1" spans="7:20" x14ac:dyDescent="0.25">
      <c r="G261" s="14"/>
      <c r="T261" s="14"/>
    </row>
    <row r="262" ht="15.75" customHeight="1" spans="7:20" x14ac:dyDescent="0.25">
      <c r="G262" s="14"/>
      <c r="T262" s="14"/>
    </row>
    <row r="263" ht="15.75" customHeight="1" spans="7:20" x14ac:dyDescent="0.25">
      <c r="G263" s="14"/>
      <c r="T263" s="14"/>
    </row>
    <row r="264" ht="15.75" customHeight="1" spans="7:20" x14ac:dyDescent="0.25">
      <c r="G264" s="14"/>
      <c r="T264" s="14"/>
    </row>
    <row r="265" ht="15.75" customHeight="1" spans="7:20" x14ac:dyDescent="0.25">
      <c r="G265" s="14"/>
      <c r="T265" s="14"/>
    </row>
    <row r="266" ht="15.75" customHeight="1" spans="7:20" x14ac:dyDescent="0.25">
      <c r="G266" s="14"/>
      <c r="T266" s="14"/>
    </row>
    <row r="267" ht="15.75" customHeight="1" spans="7:20" x14ac:dyDescent="0.25">
      <c r="G267" s="14"/>
      <c r="T267" s="14"/>
    </row>
    <row r="268" ht="15.75" customHeight="1" spans="7:20" x14ac:dyDescent="0.25">
      <c r="G268" s="14"/>
      <c r="T268" s="14"/>
    </row>
    <row r="269" ht="15.75" customHeight="1" spans="7:20" x14ac:dyDescent="0.25">
      <c r="G269" s="14"/>
      <c r="T269" s="14"/>
    </row>
    <row r="270" ht="15.75" customHeight="1" spans="7:20" x14ac:dyDescent="0.25">
      <c r="G270" s="14"/>
      <c r="T270" s="14"/>
    </row>
    <row r="271" ht="15.75" customHeight="1" spans="7:20" x14ac:dyDescent="0.25">
      <c r="G271" s="14"/>
      <c r="T271" s="14"/>
    </row>
    <row r="272" ht="15.75" customHeight="1" spans="7:20" x14ac:dyDescent="0.25">
      <c r="G272" s="14"/>
      <c r="T272" s="14"/>
    </row>
    <row r="273" ht="15.75" customHeight="1" spans="7:20" x14ac:dyDescent="0.25">
      <c r="G273" s="14"/>
      <c r="T273" s="14"/>
    </row>
    <row r="274" ht="15.75" customHeight="1" spans="7:20" x14ac:dyDescent="0.25">
      <c r="G274" s="14"/>
      <c r="T274" s="14"/>
    </row>
    <row r="275" ht="15.75" customHeight="1" spans="7:20" x14ac:dyDescent="0.25">
      <c r="G275" s="14"/>
      <c r="T275" s="14"/>
    </row>
    <row r="276" ht="15.75" customHeight="1" spans="7:20" x14ac:dyDescent="0.25">
      <c r="G276" s="14"/>
      <c r="T276" s="14"/>
    </row>
    <row r="277" ht="15.75" customHeight="1" spans="7:20" x14ac:dyDescent="0.25">
      <c r="G277" s="14"/>
      <c r="T277" s="14"/>
    </row>
    <row r="278" ht="15.75" customHeight="1" spans="7:20" x14ac:dyDescent="0.25">
      <c r="G278" s="14"/>
      <c r="T278" s="14"/>
    </row>
    <row r="279" ht="15.75" customHeight="1" spans="7:20" x14ac:dyDescent="0.25">
      <c r="G279" s="14"/>
      <c r="T279" s="14"/>
    </row>
    <row r="280" ht="15.75" customHeight="1" spans="7:20" x14ac:dyDescent="0.25">
      <c r="G280" s="14"/>
      <c r="T280" s="14"/>
    </row>
    <row r="281" ht="15.75" customHeight="1" spans="7:20" x14ac:dyDescent="0.25">
      <c r="G281" s="14"/>
      <c r="T281" s="14"/>
    </row>
    <row r="282" ht="15.75" customHeight="1" spans="7:20" x14ac:dyDescent="0.25">
      <c r="G282" s="14"/>
      <c r="T282" s="14"/>
    </row>
    <row r="283" ht="15.75" customHeight="1" spans="7:20" x14ac:dyDescent="0.25">
      <c r="G283" s="14"/>
      <c r="T283" s="14"/>
    </row>
    <row r="284" ht="15.75" customHeight="1" spans="7:20" x14ac:dyDescent="0.25">
      <c r="G284" s="14"/>
      <c r="T284" s="14"/>
    </row>
    <row r="285" ht="15.75" customHeight="1" spans="7:20" x14ac:dyDescent="0.25">
      <c r="G285" s="14"/>
      <c r="T285" s="14"/>
    </row>
    <row r="286" ht="15.75" customHeight="1" spans="7:20" x14ac:dyDescent="0.25">
      <c r="G286" s="14"/>
      <c r="T286" s="14"/>
    </row>
    <row r="287" ht="15.75" customHeight="1" spans="7:20" x14ac:dyDescent="0.25">
      <c r="G287" s="14"/>
      <c r="T287" s="14"/>
    </row>
    <row r="288" ht="15.75" customHeight="1" spans="7:20" x14ac:dyDescent="0.25">
      <c r="G288" s="14"/>
      <c r="T288" s="14"/>
    </row>
    <row r="289" ht="15.75" customHeight="1" spans="7:20" x14ac:dyDescent="0.25">
      <c r="G289" s="14"/>
      <c r="T289" s="14"/>
    </row>
    <row r="290" ht="15.75" customHeight="1" spans="7:20" x14ac:dyDescent="0.25">
      <c r="G290" s="14"/>
      <c r="T290" s="14"/>
    </row>
    <row r="291" ht="15.75" customHeight="1" spans="7:20" x14ac:dyDescent="0.25">
      <c r="G291" s="14"/>
      <c r="T291" s="14"/>
    </row>
    <row r="292" ht="15.75" customHeight="1" spans="7:20" x14ac:dyDescent="0.25">
      <c r="G292" s="14"/>
      <c r="T292" s="14"/>
    </row>
    <row r="293" ht="15.75" customHeight="1" spans="7:20" x14ac:dyDescent="0.25">
      <c r="G293" s="14"/>
      <c r="T293" s="14"/>
    </row>
    <row r="294" ht="15.75" customHeight="1" spans="7:20" x14ac:dyDescent="0.25">
      <c r="G294" s="14"/>
      <c r="T294" s="14"/>
    </row>
    <row r="295" ht="15.75" customHeight="1" spans="7:20" x14ac:dyDescent="0.25">
      <c r="G295" s="14"/>
      <c r="T295" s="14"/>
    </row>
    <row r="296" ht="15.75" customHeight="1" spans="7:20" x14ac:dyDescent="0.25">
      <c r="G296" s="14"/>
      <c r="T296" s="14"/>
    </row>
    <row r="297" ht="15.75" customHeight="1" spans="7:20" x14ac:dyDescent="0.25">
      <c r="G297" s="14"/>
      <c r="T297" s="14"/>
    </row>
    <row r="298" ht="15.75" customHeight="1" spans="7:20" x14ac:dyDescent="0.25">
      <c r="G298" s="14"/>
      <c r="T298" s="14"/>
    </row>
    <row r="299" ht="15.75" customHeight="1" spans="7:20" x14ac:dyDescent="0.25">
      <c r="G299" s="14"/>
      <c r="T299" s="14"/>
    </row>
    <row r="300" ht="15.75" customHeight="1" spans="7:20" x14ac:dyDescent="0.25">
      <c r="G300" s="14"/>
      <c r="T300" s="14"/>
    </row>
    <row r="301" ht="15.75" customHeight="1" spans="7:20" x14ac:dyDescent="0.25">
      <c r="G301" s="14"/>
      <c r="T301" s="14"/>
    </row>
    <row r="302" ht="15.75" customHeight="1" spans="7:20" x14ac:dyDescent="0.25">
      <c r="G302" s="14"/>
      <c r="T302" s="14"/>
    </row>
    <row r="303" ht="15.75" customHeight="1" spans="7:20" x14ac:dyDescent="0.25">
      <c r="G303" s="14"/>
      <c r="T303" s="14"/>
    </row>
    <row r="304" ht="15.75" customHeight="1" spans="7:20" x14ac:dyDescent="0.25">
      <c r="G304" s="14"/>
      <c r="T304" s="14"/>
    </row>
    <row r="305" ht="15.75" customHeight="1" spans="7:20" x14ac:dyDescent="0.25">
      <c r="G305" s="14"/>
      <c r="T305" s="14"/>
    </row>
    <row r="306" ht="15.75" customHeight="1" spans="7:20" x14ac:dyDescent="0.25">
      <c r="G306" s="14"/>
      <c r="T306" s="14"/>
    </row>
    <row r="307" ht="15.75" customHeight="1" spans="7:20" x14ac:dyDescent="0.25">
      <c r="G307" s="14"/>
      <c r="T307" s="14"/>
    </row>
    <row r="308" ht="15.75" customHeight="1" spans="7:20" x14ac:dyDescent="0.25">
      <c r="G308" s="14"/>
      <c r="T308" s="14"/>
    </row>
    <row r="309" ht="15.75" customHeight="1" spans="7:20" x14ac:dyDescent="0.25">
      <c r="G309" s="14"/>
      <c r="T309" s="14"/>
    </row>
    <row r="310" ht="15.75" customHeight="1" spans="7:20" x14ac:dyDescent="0.25">
      <c r="G310" s="14"/>
      <c r="T310" s="14"/>
    </row>
    <row r="311" ht="15.75" customHeight="1" spans="7:20" x14ac:dyDescent="0.25">
      <c r="G311" s="14"/>
      <c r="T311" s="14"/>
    </row>
    <row r="312" ht="15.75" customHeight="1" spans="7:20" x14ac:dyDescent="0.25">
      <c r="G312" s="14"/>
      <c r="T312" s="14"/>
    </row>
    <row r="313" ht="15.75" customHeight="1" spans="7:20" x14ac:dyDescent="0.25">
      <c r="G313" s="14"/>
      <c r="T313" s="14"/>
    </row>
    <row r="314" ht="15.75" customHeight="1" spans="7:20" x14ac:dyDescent="0.25">
      <c r="G314" s="14"/>
      <c r="T314" s="14"/>
    </row>
    <row r="315" ht="15.75" customHeight="1" spans="7:20" x14ac:dyDescent="0.25">
      <c r="G315" s="14"/>
      <c r="T315" s="14"/>
    </row>
    <row r="316" ht="15.75" customHeight="1" spans="7:20" x14ac:dyDescent="0.25">
      <c r="G316" s="14"/>
      <c r="T316" s="14"/>
    </row>
    <row r="317" ht="15.75" customHeight="1" spans="7:20" x14ac:dyDescent="0.25">
      <c r="G317" s="14"/>
      <c r="T317" s="14"/>
    </row>
    <row r="318" ht="15.75" customHeight="1" spans="7:20" x14ac:dyDescent="0.25">
      <c r="G318" s="14"/>
      <c r="T318" s="14"/>
    </row>
    <row r="319" ht="15.75" customHeight="1" spans="7:20" x14ac:dyDescent="0.25">
      <c r="G319" s="14"/>
      <c r="T319" s="14"/>
    </row>
    <row r="320" ht="15.75" customHeight="1" spans="7:20" x14ac:dyDescent="0.25">
      <c r="G320" s="14"/>
      <c r="T320" s="14"/>
    </row>
    <row r="321" ht="15.75" customHeight="1" spans="7:20" x14ac:dyDescent="0.25">
      <c r="G321" s="14"/>
      <c r="T321" s="14"/>
    </row>
    <row r="322" ht="15.75" customHeight="1" spans="7:20" x14ac:dyDescent="0.25">
      <c r="G322" s="14"/>
      <c r="T322" s="14"/>
    </row>
    <row r="323" ht="15.75" customHeight="1" spans="7:20" x14ac:dyDescent="0.25">
      <c r="G323" s="14"/>
      <c r="T323" s="14"/>
    </row>
    <row r="324" ht="15.75" customHeight="1" spans="7:20" x14ac:dyDescent="0.25">
      <c r="G324" s="14"/>
      <c r="T324" s="14"/>
    </row>
    <row r="325" ht="15.75" customHeight="1" spans="7:20" x14ac:dyDescent="0.25">
      <c r="G325" s="14"/>
      <c r="T325" s="14"/>
    </row>
    <row r="326" ht="15.75" customHeight="1" spans="7:20" x14ac:dyDescent="0.25">
      <c r="G326" s="14"/>
      <c r="T326" s="14"/>
    </row>
    <row r="327" ht="15.75" customHeight="1" spans="7:20" x14ac:dyDescent="0.25">
      <c r="G327" s="14"/>
      <c r="T327" s="14"/>
    </row>
    <row r="328" ht="15.75" customHeight="1" spans="7:20" x14ac:dyDescent="0.25">
      <c r="G328" s="14"/>
      <c r="T328" s="14"/>
    </row>
    <row r="329" ht="15.75" customHeight="1" spans="7:20" x14ac:dyDescent="0.25">
      <c r="G329" s="14"/>
      <c r="T329" s="14"/>
    </row>
    <row r="330" ht="15.75" customHeight="1" spans="7:20" x14ac:dyDescent="0.25">
      <c r="G330" s="14"/>
      <c r="T330" s="14"/>
    </row>
    <row r="331" ht="15.75" customHeight="1" spans="7:20" x14ac:dyDescent="0.25">
      <c r="G331" s="14"/>
      <c r="T331" s="14"/>
    </row>
    <row r="332" ht="15.75" customHeight="1" spans="7:20" x14ac:dyDescent="0.25">
      <c r="G332" s="14"/>
      <c r="T332" s="14"/>
    </row>
    <row r="333" ht="15.75" customHeight="1" spans="7:20" x14ac:dyDescent="0.25">
      <c r="G333" s="14"/>
      <c r="T333" s="14"/>
    </row>
    <row r="334" ht="15.75" customHeight="1" spans="7:20" x14ac:dyDescent="0.25">
      <c r="G334" s="14"/>
      <c r="T334" s="14"/>
    </row>
    <row r="335" ht="15.75" customHeight="1" spans="7:20" x14ac:dyDescent="0.25">
      <c r="G335" s="14"/>
      <c r="T335" s="14"/>
    </row>
    <row r="336" ht="15.75" customHeight="1" spans="7:20" x14ac:dyDescent="0.25">
      <c r="G336" s="14"/>
      <c r="T336" s="14"/>
    </row>
    <row r="337" ht="15.75" customHeight="1" spans="7:20" x14ac:dyDescent="0.25">
      <c r="G337" s="14"/>
      <c r="T337" s="14"/>
    </row>
    <row r="338" ht="15.75" customHeight="1" spans="7:20" x14ac:dyDescent="0.25">
      <c r="G338" s="14"/>
      <c r="T338" s="14"/>
    </row>
    <row r="339" ht="15.75" customHeight="1" spans="7:20" x14ac:dyDescent="0.25">
      <c r="G339" s="14"/>
      <c r="T339" s="14"/>
    </row>
    <row r="340" ht="15.75" customHeight="1" spans="7:20" x14ac:dyDescent="0.25">
      <c r="G340" s="14"/>
      <c r="T340" s="14"/>
    </row>
    <row r="341" ht="15.75" customHeight="1" spans="7:20" x14ac:dyDescent="0.25">
      <c r="G341" s="14"/>
      <c r="T341" s="14"/>
    </row>
    <row r="342" ht="15.75" customHeight="1" spans="7:20" x14ac:dyDescent="0.25">
      <c r="G342" s="14"/>
      <c r="T342" s="14"/>
    </row>
    <row r="343" ht="15.75" customHeight="1" spans="7:20" x14ac:dyDescent="0.25">
      <c r="G343" s="14"/>
      <c r="T343" s="14"/>
    </row>
    <row r="344" ht="15.75" customHeight="1" spans="7:20" x14ac:dyDescent="0.25">
      <c r="G344" s="14"/>
      <c r="T344" s="14"/>
    </row>
    <row r="345" ht="15.75" customHeight="1" spans="7:20" x14ac:dyDescent="0.25">
      <c r="G345" s="14"/>
      <c r="T345" s="14"/>
    </row>
    <row r="346" ht="15.75" customHeight="1" spans="7:20" x14ac:dyDescent="0.25">
      <c r="G346" s="14"/>
      <c r="T346" s="14"/>
    </row>
    <row r="347" ht="15.75" customHeight="1" spans="7:20" x14ac:dyDescent="0.25">
      <c r="G347" s="14"/>
      <c r="T347" s="14"/>
    </row>
    <row r="348" ht="15.75" customHeight="1" spans="7:20" x14ac:dyDescent="0.25">
      <c r="G348" s="14"/>
      <c r="T348" s="14"/>
    </row>
    <row r="349" ht="15.75" customHeight="1" spans="7:20" x14ac:dyDescent="0.25">
      <c r="G349" s="14"/>
      <c r="T349" s="14"/>
    </row>
    <row r="350" ht="15.75" customHeight="1" spans="7:20" x14ac:dyDescent="0.25">
      <c r="G350" s="14"/>
      <c r="T350" s="14"/>
    </row>
    <row r="351" ht="15.75" customHeight="1" spans="7:20" x14ac:dyDescent="0.25">
      <c r="G351" s="14"/>
      <c r="T351" s="14"/>
    </row>
    <row r="352" ht="15.75" customHeight="1" spans="7:20" x14ac:dyDescent="0.25">
      <c r="G352" s="14"/>
      <c r="T352" s="14"/>
    </row>
    <row r="353" ht="15.75" customHeight="1" spans="7:20" x14ac:dyDescent="0.25">
      <c r="G353" s="14"/>
      <c r="T353" s="14"/>
    </row>
    <row r="354" ht="15.75" customHeight="1" spans="7:20" x14ac:dyDescent="0.25">
      <c r="G354" s="14"/>
      <c r="T354" s="14"/>
    </row>
    <row r="355" ht="15.75" customHeight="1" spans="7:20" x14ac:dyDescent="0.25">
      <c r="G355" s="14"/>
      <c r="T355" s="14"/>
    </row>
    <row r="356" ht="15.75" customHeight="1" spans="7:20" x14ac:dyDescent="0.25">
      <c r="G356" s="14"/>
      <c r="T356" s="14"/>
    </row>
    <row r="357" ht="15.75" customHeight="1" spans="7:20" x14ac:dyDescent="0.25">
      <c r="G357" s="14"/>
      <c r="T357" s="14"/>
    </row>
    <row r="358" ht="15.75" customHeight="1" spans="7:20" x14ac:dyDescent="0.25">
      <c r="G358" s="14"/>
      <c r="T358" s="14"/>
    </row>
    <row r="359" ht="15.75" customHeight="1" spans="7:20" x14ac:dyDescent="0.25">
      <c r="G359" s="14"/>
      <c r="T359" s="14"/>
    </row>
    <row r="360" ht="15.75" customHeight="1" spans="7:20" x14ac:dyDescent="0.25">
      <c r="G360" s="14"/>
      <c r="T360" s="14"/>
    </row>
    <row r="361" ht="15.75" customHeight="1" spans="7:20" x14ac:dyDescent="0.25">
      <c r="G361" s="14"/>
      <c r="T361" s="14"/>
    </row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H6:J6"/>
    <mergeCell ref="B6:B7"/>
    <mergeCell ref="C6:C7"/>
    <mergeCell ref="D6:D7"/>
    <mergeCell ref="E6:E7"/>
    <mergeCell ref="F6:F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U6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8" topLeftCell="A9" activePane="bottomLeft" state="frozen"/>
      <selection pane="bottomLeft" activeCell="B10" sqref="B10"/>
    </sheetView>
  </sheetViews>
  <sheetFormatPr defaultRowHeight="15" outlineLevelRow="0" outlineLevelCol="0" x14ac:dyDescent="0.25" defaultColWidth="12.6640625"/>
  <cols>
    <col min="1" max="2" width="12.6640625" customWidth="1"/>
    <col min="3" max="3" width="9.44140625" customWidth="1"/>
    <col min="4" max="4" width="32.88671875" customWidth="1"/>
    <col min="5" max="6" width="12.6640625" customWidth="1"/>
    <col min="8" max="8" width="9.88671875" customWidth="1"/>
    <col min="9" max="9" width="6.44140625" customWidth="1"/>
    <col min="11" max="11" width="10.44140625" customWidth="1"/>
    <col min="12" max="12" width="10.21875" customWidth="1"/>
    <col min="13" max="13" width="10.6640625" customWidth="1"/>
    <col min="14" max="14" width="9.21875" customWidth="1"/>
    <col min="15" max="15" width="11.6640625" customWidth="1"/>
    <col min="16" max="16" width="10.21875" customWidth="1"/>
    <col min="18" max="18" width="10.44140625" customWidth="1"/>
    <col min="19" max="19" width="9.109375" customWidth="1"/>
  </cols>
  <sheetData>
    <row r="1" ht="15.75" customHeight="1" spans="1:26" x14ac:dyDescent="0.25">
      <c r="A1" s="42"/>
      <c r="B1" s="42"/>
      <c r="C1" s="42"/>
      <c r="D1" s="42"/>
      <c r="E1" s="42"/>
      <c r="F1" s="42"/>
      <c r="G1" s="43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4"/>
      <c r="U1" s="42"/>
      <c r="V1" s="42"/>
      <c r="W1" s="42"/>
      <c r="X1" s="42"/>
      <c r="Y1" s="42"/>
      <c r="Z1" s="42"/>
    </row>
    <row r="2" ht="15.75" customHeight="1" spans="1:26" x14ac:dyDescent="0.25">
      <c r="A2" s="42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4"/>
      <c r="U2" s="42"/>
      <c r="V2" s="42"/>
      <c r="W2" s="42"/>
      <c r="X2" s="42"/>
      <c r="Y2" s="42"/>
      <c r="Z2" s="42"/>
    </row>
    <row r="3" ht="15.75" customHeight="1" spans="1:26" x14ac:dyDescent="0.25">
      <c r="A3" s="42"/>
      <c r="B3" s="42"/>
      <c r="C3" s="42"/>
      <c r="D3" s="42"/>
      <c r="E3" s="42"/>
      <c r="F3" s="42"/>
      <c r="G3" s="43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4"/>
      <c r="U3" s="42"/>
      <c r="V3" s="42"/>
      <c r="W3" s="42"/>
      <c r="X3" s="42"/>
      <c r="Y3" s="42"/>
      <c r="Z3" s="42"/>
    </row>
    <row r="4" ht="15.75" customHeight="1" spans="1:26" x14ac:dyDescent="0.25">
      <c r="A4" s="42"/>
      <c r="B4" s="42"/>
      <c r="C4" s="42"/>
      <c r="D4" s="42"/>
      <c r="E4" s="42"/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4"/>
      <c r="U4" s="42"/>
      <c r="V4" s="42"/>
      <c r="W4" s="42"/>
      <c r="X4" s="42"/>
      <c r="Y4" s="42"/>
      <c r="Z4" s="42"/>
    </row>
    <row r="5" ht="15.75" customHeight="1" spans="1:26" x14ac:dyDescent="0.25">
      <c r="A5" s="42"/>
      <c r="B5" s="45"/>
      <c r="C5" s="45"/>
      <c r="D5" s="45"/>
      <c r="E5" s="45"/>
      <c r="F5" s="45"/>
      <c r="G5" s="46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7"/>
      <c r="U5" s="45"/>
      <c r="V5" s="42"/>
      <c r="W5" s="42"/>
      <c r="X5" s="42"/>
      <c r="Y5" s="42"/>
      <c r="Z5" s="42"/>
    </row>
    <row r="6" ht="15.75" customHeight="1" spans="1:26" x14ac:dyDescent="0.25">
      <c r="A6" s="48"/>
      <c r="B6" s="49" t="s">
        <v>0</v>
      </c>
      <c r="C6" s="49" t="s">
        <v>1</v>
      </c>
      <c r="D6" s="49" t="s">
        <v>2</v>
      </c>
      <c r="E6" s="49" t="s">
        <v>3</v>
      </c>
      <c r="F6" s="49" t="s">
        <v>4</v>
      </c>
      <c r="G6" s="50"/>
      <c r="H6" s="51" t="s">
        <v>5</v>
      </c>
      <c r="I6" s="6"/>
      <c r="J6" s="7"/>
      <c r="K6" s="49" t="s">
        <v>6</v>
      </c>
      <c r="L6" s="49" t="s">
        <v>7</v>
      </c>
      <c r="M6" s="49" t="s">
        <v>8</v>
      </c>
      <c r="N6" s="49" t="s">
        <v>9</v>
      </c>
      <c r="O6" s="49" t="s">
        <v>10</v>
      </c>
      <c r="P6" s="49" t="s">
        <v>11</v>
      </c>
      <c r="Q6" s="49" t="s">
        <v>12</v>
      </c>
      <c r="R6" s="49" t="s">
        <v>13</v>
      </c>
      <c r="S6" s="49" t="s">
        <v>204</v>
      </c>
      <c r="T6" s="36"/>
      <c r="U6" s="49" t="s">
        <v>15</v>
      </c>
      <c r="V6" s="42"/>
      <c r="W6" s="42"/>
      <c r="X6" s="42"/>
      <c r="Y6" s="42"/>
      <c r="Z6" s="42"/>
    </row>
    <row r="7" ht="15.75" customHeight="1" spans="1:26" x14ac:dyDescent="0.25">
      <c r="A7" s="48"/>
      <c r="B7" s="9"/>
      <c r="C7" s="9"/>
      <c r="D7" s="9"/>
      <c r="E7" s="9"/>
      <c r="F7" s="9"/>
      <c r="G7" s="50"/>
      <c r="H7" s="52" t="s">
        <v>16</v>
      </c>
      <c r="I7" s="52" t="s">
        <v>17</v>
      </c>
      <c r="J7" s="52" t="s">
        <v>18</v>
      </c>
      <c r="K7" s="9"/>
      <c r="L7" s="9"/>
      <c r="M7" s="9"/>
      <c r="N7" s="9"/>
      <c r="O7" s="9"/>
      <c r="P7" s="9"/>
      <c r="Q7" s="9"/>
      <c r="R7" s="9"/>
      <c r="S7" s="9"/>
      <c r="T7" s="36"/>
      <c r="U7" s="9"/>
      <c r="V7" s="42"/>
      <c r="W7" s="42"/>
      <c r="X7" s="42"/>
      <c r="Y7" s="42"/>
      <c r="Z7" s="42"/>
    </row>
    <row r="8" ht="15.75" customHeight="1" spans="1:26" x14ac:dyDescent="0.25">
      <c r="A8" s="48"/>
      <c r="B8" s="25" t="s">
        <v>205</v>
      </c>
      <c r="C8" s="25"/>
      <c r="D8" s="25" t="s">
        <v>51</v>
      </c>
      <c r="E8" s="25"/>
      <c r="F8" s="25"/>
      <c r="G8" s="50"/>
      <c r="H8" s="25"/>
      <c r="I8" s="25"/>
      <c r="J8" s="35"/>
      <c r="K8" s="25"/>
      <c r="L8" s="25"/>
      <c r="M8" s="25"/>
      <c r="N8" s="25"/>
      <c r="O8" s="25"/>
      <c r="P8" s="25"/>
      <c r="Q8" s="25"/>
      <c r="R8" s="25"/>
      <c r="S8" s="25" t="s">
        <v>206</v>
      </c>
      <c r="T8" s="36"/>
      <c r="U8" s="53">
        <v>5120</v>
      </c>
      <c r="V8" s="42"/>
      <c r="W8" s="42"/>
      <c r="X8" s="42"/>
      <c r="Y8" s="42"/>
      <c r="Z8" s="42"/>
    </row>
    <row r="9" ht="15.75" customHeight="1" spans="1:26" x14ac:dyDescent="0.25">
      <c r="A9" s="48"/>
      <c r="B9" s="25"/>
      <c r="C9" s="35">
        <v>149</v>
      </c>
      <c r="D9" s="25" t="s">
        <v>207</v>
      </c>
      <c r="E9" s="25" t="s">
        <v>22</v>
      </c>
      <c r="F9" s="53">
        <v>2400</v>
      </c>
      <c r="G9" s="50"/>
      <c r="H9" s="35"/>
      <c r="I9" s="35"/>
      <c r="J9" s="35"/>
      <c r="K9" s="25"/>
      <c r="L9" s="25"/>
      <c r="M9" s="25"/>
      <c r="N9" s="25"/>
      <c r="O9" s="25"/>
      <c r="P9" s="25"/>
      <c r="Q9" s="25">
        <v>2400</v>
      </c>
      <c r="R9" s="25"/>
      <c r="S9" s="25"/>
      <c r="T9" s="36"/>
      <c r="U9" s="53">
        <f t="shared" ref="U9:U12" si="0">U8-F9</f>
        <v>2720</v>
      </c>
      <c r="V9" s="42"/>
      <c r="W9" s="42"/>
      <c r="X9" s="42"/>
      <c r="Y9" s="42"/>
      <c r="Z9" s="42"/>
    </row>
    <row r="10" ht="15.75" customHeight="1" spans="1:26" x14ac:dyDescent="0.25">
      <c r="A10" s="48"/>
      <c r="B10" s="25"/>
      <c r="C10" s="35">
        <v>150</v>
      </c>
      <c r="D10" s="25" t="s">
        <v>208</v>
      </c>
      <c r="E10" s="25"/>
      <c r="F10" s="53">
        <v>1000</v>
      </c>
      <c r="G10" s="50"/>
      <c r="H10" s="35"/>
      <c r="I10" s="35"/>
      <c r="J10" s="35"/>
      <c r="K10" s="25"/>
      <c r="L10" s="25">
        <v>1000</v>
      </c>
      <c r="M10" s="25"/>
      <c r="N10" s="25"/>
      <c r="O10" s="25"/>
      <c r="P10" s="25"/>
      <c r="Q10" s="25"/>
      <c r="R10" s="25"/>
      <c r="S10" s="25"/>
      <c r="T10" s="36"/>
      <c r="U10" s="53">
        <f t="shared" si="0"/>
        <v>1720</v>
      </c>
      <c r="V10" s="42"/>
      <c r="W10" s="42"/>
      <c r="X10" s="42"/>
      <c r="Y10" s="42"/>
      <c r="Z10" s="42"/>
    </row>
    <row r="11" ht="15.75" customHeight="1" spans="1:26" x14ac:dyDescent="0.25">
      <c r="A11" s="48"/>
      <c r="B11" s="25"/>
      <c r="C11" s="35">
        <v>151</v>
      </c>
      <c r="D11" s="25" t="s">
        <v>41</v>
      </c>
      <c r="E11" s="25" t="s">
        <v>121</v>
      </c>
      <c r="F11" s="53">
        <v>7900</v>
      </c>
      <c r="G11" s="50"/>
      <c r="H11" s="35">
        <v>79</v>
      </c>
      <c r="I11" s="35">
        <v>100</v>
      </c>
      <c r="J11" s="53">
        <v>7900</v>
      </c>
      <c r="K11" s="25"/>
      <c r="L11" s="25"/>
      <c r="M11" s="25"/>
      <c r="N11" s="25"/>
      <c r="O11" s="25"/>
      <c r="P11" s="25"/>
      <c r="Q11" s="25"/>
      <c r="R11" s="25"/>
      <c r="S11" s="25"/>
      <c r="T11" s="36"/>
      <c r="U11" s="53">
        <f t="shared" si="0"/>
        <v>-6180</v>
      </c>
      <c r="V11" s="42"/>
      <c r="W11" s="42"/>
      <c r="X11" s="42"/>
      <c r="Y11" s="42"/>
      <c r="Z11" s="42"/>
    </row>
    <row r="12" ht="15.75" customHeight="1" spans="1:26" x14ac:dyDescent="0.25">
      <c r="A12" s="48"/>
      <c r="B12" s="25"/>
      <c r="C12" s="35">
        <v>152</v>
      </c>
      <c r="D12" s="25" t="s">
        <v>41</v>
      </c>
      <c r="E12" s="25" t="s">
        <v>54</v>
      </c>
      <c r="F12" s="53">
        <v>8700</v>
      </c>
      <c r="G12" s="50"/>
      <c r="H12" s="35">
        <v>87</v>
      </c>
      <c r="I12" s="35">
        <v>100</v>
      </c>
      <c r="J12" s="53">
        <v>8700</v>
      </c>
      <c r="K12" s="25"/>
      <c r="L12" s="25"/>
      <c r="M12" s="25"/>
      <c r="N12" s="35"/>
      <c r="O12" s="25"/>
      <c r="P12" s="25"/>
      <c r="Q12" s="25"/>
      <c r="R12" s="25"/>
      <c r="S12" s="25"/>
      <c r="T12" s="36"/>
      <c r="U12" s="53">
        <f t="shared" si="0"/>
        <v>-14880</v>
      </c>
      <c r="V12" s="42"/>
      <c r="W12" s="42"/>
      <c r="X12" s="42"/>
      <c r="Y12" s="42"/>
      <c r="Z12" s="42"/>
    </row>
    <row r="13" ht="15.75" customHeight="1" spans="1:26" x14ac:dyDescent="0.25">
      <c r="A13" s="48"/>
      <c r="B13" s="25"/>
      <c r="C13" s="35"/>
      <c r="D13" s="25" t="s">
        <v>209</v>
      </c>
      <c r="E13" s="25"/>
      <c r="F13" s="35"/>
      <c r="G13" s="50">
        <v>50000</v>
      </c>
      <c r="H13" s="25"/>
      <c r="I13" s="25"/>
      <c r="J13" s="35"/>
      <c r="K13" s="25"/>
      <c r="L13" s="25"/>
      <c r="M13" s="25"/>
      <c r="N13" s="25"/>
      <c r="O13" s="25"/>
      <c r="P13" s="25"/>
      <c r="Q13" s="35"/>
      <c r="R13" s="25"/>
      <c r="S13" s="25"/>
      <c r="T13" s="36"/>
      <c r="U13" s="53">
        <f>U12-F13+50000</f>
        <v>35120</v>
      </c>
      <c r="V13" s="42"/>
      <c r="W13" s="42"/>
      <c r="X13" s="42"/>
      <c r="Y13" s="42"/>
      <c r="Z13" s="42"/>
    </row>
    <row r="14" ht="15.75" customHeight="1" spans="1:26" x14ac:dyDescent="0.25">
      <c r="A14" s="48"/>
      <c r="B14" s="25" t="s">
        <v>210</v>
      </c>
      <c r="C14" s="35">
        <v>153</v>
      </c>
      <c r="D14" s="25" t="s">
        <v>13</v>
      </c>
      <c r="E14" s="25" t="s">
        <v>104</v>
      </c>
      <c r="F14" s="53">
        <v>2500</v>
      </c>
      <c r="G14" s="50"/>
      <c r="H14" s="35"/>
      <c r="I14" s="35"/>
      <c r="J14" s="35"/>
      <c r="K14" s="25"/>
      <c r="L14" s="25"/>
      <c r="M14" s="25"/>
      <c r="N14" s="25"/>
      <c r="O14" s="25"/>
      <c r="P14" s="25"/>
      <c r="Q14" s="25"/>
      <c r="R14" s="25">
        <v>2500</v>
      </c>
      <c r="S14" s="25"/>
      <c r="T14" s="36"/>
      <c r="U14" s="53">
        <f t="shared" ref="U14:U21" si="1">U13-F14</f>
        <v>32620</v>
      </c>
      <c r="V14" s="42"/>
      <c r="W14" s="42"/>
      <c r="X14" s="42"/>
      <c r="Y14" s="42"/>
      <c r="Z14" s="42"/>
    </row>
    <row r="15" ht="15.75" customHeight="1" spans="1:26" x14ac:dyDescent="0.25">
      <c r="A15" s="48"/>
      <c r="B15" s="25"/>
      <c r="C15" s="35">
        <v>154</v>
      </c>
      <c r="D15" s="25" t="s">
        <v>211</v>
      </c>
      <c r="E15" s="25" t="s">
        <v>119</v>
      </c>
      <c r="F15" s="35">
        <v>500</v>
      </c>
      <c r="G15" s="50"/>
      <c r="H15" s="35"/>
      <c r="I15" s="35"/>
      <c r="J15" s="35"/>
      <c r="K15" s="25"/>
      <c r="L15" s="25"/>
      <c r="M15" s="25"/>
      <c r="N15" s="25">
        <v>500</v>
      </c>
      <c r="O15" s="25"/>
      <c r="P15" s="25"/>
      <c r="Q15" s="25"/>
      <c r="R15" s="25"/>
      <c r="S15" s="25"/>
      <c r="T15" s="36"/>
      <c r="U15" s="53">
        <f t="shared" si="1"/>
        <v>32120</v>
      </c>
      <c r="V15" s="42"/>
      <c r="W15" s="42"/>
      <c r="X15" s="42"/>
      <c r="Y15" s="42"/>
      <c r="Z15" s="42"/>
    </row>
    <row r="16" ht="15.75" customHeight="1" spans="1:26" x14ac:dyDescent="0.25">
      <c r="A16" s="48"/>
      <c r="B16" s="25"/>
      <c r="C16" s="35">
        <v>155</v>
      </c>
      <c r="D16" s="25" t="s">
        <v>57</v>
      </c>
      <c r="E16" s="25" t="s">
        <v>212</v>
      </c>
      <c r="F16" s="35">
        <v>380</v>
      </c>
      <c r="G16" s="50"/>
      <c r="H16" s="25"/>
      <c r="I16" s="25"/>
      <c r="J16" s="35"/>
      <c r="K16" s="25"/>
      <c r="L16" s="25"/>
      <c r="M16" s="35"/>
      <c r="N16" s="25"/>
      <c r="O16" s="25"/>
      <c r="P16" s="25"/>
      <c r="Q16" s="25">
        <v>380</v>
      </c>
      <c r="R16" s="25"/>
      <c r="S16" s="25"/>
      <c r="T16" s="36"/>
      <c r="U16" s="53">
        <f t="shared" si="1"/>
        <v>31740</v>
      </c>
      <c r="V16" s="42"/>
      <c r="W16" s="42"/>
      <c r="X16" s="42"/>
      <c r="Y16" s="42"/>
      <c r="Z16" s="42"/>
    </row>
    <row r="17" ht="15.75" customHeight="1" spans="1:26" x14ac:dyDescent="0.25">
      <c r="A17" s="48"/>
      <c r="B17" s="25"/>
      <c r="C17" s="35">
        <v>156</v>
      </c>
      <c r="D17" s="25" t="s">
        <v>213</v>
      </c>
      <c r="E17" s="25" t="s">
        <v>214</v>
      </c>
      <c r="F17" s="53">
        <v>1500</v>
      </c>
      <c r="G17" s="50"/>
      <c r="H17" s="35"/>
      <c r="I17" s="35"/>
      <c r="J17" s="35"/>
      <c r="K17" s="25"/>
      <c r="L17" s="25"/>
      <c r="M17" s="25">
        <v>1500</v>
      </c>
      <c r="N17" s="25"/>
      <c r="O17" s="25"/>
      <c r="P17" s="25"/>
      <c r="Q17" s="25"/>
      <c r="R17" s="25"/>
      <c r="S17" s="25"/>
      <c r="T17" s="36"/>
      <c r="U17" s="53">
        <f t="shared" si="1"/>
        <v>30240</v>
      </c>
      <c r="V17" s="42"/>
      <c r="W17" s="42"/>
      <c r="X17" s="42"/>
      <c r="Y17" s="42"/>
      <c r="Z17" s="42"/>
    </row>
    <row r="18" ht="15.75" customHeight="1" spans="1:26" x14ac:dyDescent="0.25">
      <c r="A18" s="48"/>
      <c r="B18" s="25"/>
      <c r="C18" s="35">
        <v>157</v>
      </c>
      <c r="D18" s="25" t="s">
        <v>41</v>
      </c>
      <c r="E18" s="25" t="s">
        <v>215</v>
      </c>
      <c r="F18" s="53">
        <v>19900</v>
      </c>
      <c r="G18" s="50"/>
      <c r="H18" s="35">
        <v>199</v>
      </c>
      <c r="I18" s="35">
        <v>100</v>
      </c>
      <c r="J18" s="35">
        <v>19900</v>
      </c>
      <c r="K18" s="25"/>
      <c r="L18" s="25"/>
      <c r="M18" s="25"/>
      <c r="N18" s="25"/>
      <c r="O18" s="25"/>
      <c r="P18" s="25"/>
      <c r="Q18" s="25"/>
      <c r="R18" s="25"/>
      <c r="S18" s="25"/>
      <c r="T18" s="36"/>
      <c r="U18" s="53">
        <f t="shared" si="1"/>
        <v>10340</v>
      </c>
      <c r="V18" s="42"/>
      <c r="W18" s="42"/>
      <c r="X18" s="42"/>
      <c r="Y18" s="42"/>
      <c r="Z18" s="42"/>
    </row>
    <row r="19" ht="15.75" customHeight="1" spans="1:26" x14ac:dyDescent="0.25">
      <c r="A19" s="48"/>
      <c r="B19" s="25"/>
      <c r="C19" s="35">
        <v>158</v>
      </c>
      <c r="D19" s="25" t="s">
        <v>41</v>
      </c>
      <c r="E19" s="25" t="s">
        <v>54</v>
      </c>
      <c r="F19" s="53">
        <v>5400</v>
      </c>
      <c r="G19" s="50"/>
      <c r="H19" s="35">
        <v>54</v>
      </c>
      <c r="I19" s="35">
        <v>100</v>
      </c>
      <c r="J19" s="35">
        <v>5400</v>
      </c>
      <c r="K19" s="25"/>
      <c r="L19" s="25"/>
      <c r="M19" s="25"/>
      <c r="N19" s="25"/>
      <c r="O19" s="25"/>
      <c r="P19" s="25"/>
      <c r="Q19" s="25"/>
      <c r="R19" s="25"/>
      <c r="S19" s="25"/>
      <c r="T19" s="36"/>
      <c r="U19" s="53">
        <f t="shared" si="1"/>
        <v>4940</v>
      </c>
      <c r="V19" s="42"/>
      <c r="W19" s="42"/>
      <c r="X19" s="42"/>
      <c r="Y19" s="42"/>
      <c r="Z19" s="42"/>
    </row>
    <row r="20" ht="15.75" customHeight="1" spans="1:26" x14ac:dyDescent="0.25">
      <c r="A20" s="48"/>
      <c r="B20" s="25"/>
      <c r="C20" s="35">
        <v>159</v>
      </c>
      <c r="D20" s="25" t="s">
        <v>216</v>
      </c>
      <c r="E20" s="25" t="s">
        <v>119</v>
      </c>
      <c r="F20" s="35">
        <v>500</v>
      </c>
      <c r="G20" s="50"/>
      <c r="H20" s="25"/>
      <c r="I20" s="25"/>
      <c r="J20" s="35"/>
      <c r="K20" s="25"/>
      <c r="L20" s="25"/>
      <c r="M20" s="25"/>
      <c r="N20" s="25">
        <v>500</v>
      </c>
      <c r="O20" s="25"/>
      <c r="P20" s="25"/>
      <c r="Q20" s="25"/>
      <c r="R20" s="35"/>
      <c r="S20" s="25"/>
      <c r="T20" s="36"/>
      <c r="U20" s="53">
        <f t="shared" si="1"/>
        <v>4440</v>
      </c>
      <c r="V20" s="42"/>
      <c r="W20" s="42"/>
      <c r="X20" s="42"/>
      <c r="Y20" s="42"/>
      <c r="Z20" s="42"/>
    </row>
    <row r="21" ht="15.75" customHeight="1" spans="1:26" x14ac:dyDescent="0.25">
      <c r="A21" s="48"/>
      <c r="B21" s="25"/>
      <c r="C21" s="35">
        <v>160</v>
      </c>
      <c r="D21" s="25" t="s">
        <v>181</v>
      </c>
      <c r="E21" s="25" t="s">
        <v>217</v>
      </c>
      <c r="F21" s="35">
        <v>450</v>
      </c>
      <c r="G21" s="50"/>
      <c r="H21" s="35"/>
      <c r="I21" s="35"/>
      <c r="J21" s="35"/>
      <c r="K21" s="25"/>
      <c r="L21" s="25"/>
      <c r="M21" s="25"/>
      <c r="N21" s="25"/>
      <c r="O21" s="25"/>
      <c r="P21" s="25"/>
      <c r="Q21" s="35">
        <v>450</v>
      </c>
      <c r="R21" s="25"/>
      <c r="S21" s="25"/>
      <c r="T21" s="36"/>
      <c r="U21" s="53">
        <f t="shared" si="1"/>
        <v>3990</v>
      </c>
      <c r="V21" s="42"/>
      <c r="W21" s="42"/>
      <c r="X21" s="42"/>
      <c r="Y21" s="42"/>
      <c r="Z21" s="42"/>
    </row>
    <row r="22" ht="15.75" customHeight="1" spans="1:26" x14ac:dyDescent="0.25">
      <c r="A22" s="48"/>
      <c r="B22" s="25" t="s">
        <v>218</v>
      </c>
      <c r="C22" s="35"/>
      <c r="D22" s="25" t="s">
        <v>219</v>
      </c>
      <c r="E22" s="25"/>
      <c r="F22" s="35"/>
      <c r="G22" s="50">
        <v>30000</v>
      </c>
      <c r="H22" s="25"/>
      <c r="I22" s="25"/>
      <c r="J22" s="35"/>
      <c r="K22" s="25"/>
      <c r="L22" s="25"/>
      <c r="M22" s="25"/>
      <c r="N22" s="25"/>
      <c r="O22" s="25"/>
      <c r="P22" s="25"/>
      <c r="Q22" s="35"/>
      <c r="R22" s="25"/>
      <c r="S22" s="25"/>
      <c r="T22" s="36"/>
      <c r="U22" s="53">
        <f>U21-F22+30000</f>
        <v>33990</v>
      </c>
      <c r="V22" s="42"/>
      <c r="W22" s="42"/>
      <c r="X22" s="42"/>
      <c r="Y22" s="42"/>
      <c r="Z22" s="42"/>
    </row>
    <row r="23" ht="15.75" customHeight="1" spans="1:26" x14ac:dyDescent="0.25">
      <c r="A23" s="48"/>
      <c r="B23" s="25"/>
      <c r="C23" s="35">
        <v>161</v>
      </c>
      <c r="D23" s="25" t="s">
        <v>41</v>
      </c>
      <c r="E23" s="25" t="s">
        <v>220</v>
      </c>
      <c r="F23" s="53">
        <v>1500</v>
      </c>
      <c r="G23" s="50"/>
      <c r="H23" s="35">
        <v>15</v>
      </c>
      <c r="I23" s="35">
        <v>100</v>
      </c>
      <c r="J23" s="35">
        <v>1500</v>
      </c>
      <c r="K23" s="25"/>
      <c r="L23" s="25"/>
      <c r="M23" s="25"/>
      <c r="N23" s="25"/>
      <c r="O23" s="25"/>
      <c r="P23" s="25"/>
      <c r="Q23" s="25"/>
      <c r="R23" s="25"/>
      <c r="S23" s="25"/>
      <c r="T23" s="36"/>
      <c r="U23" s="53">
        <f t="shared" ref="U23:U37" si="2">U22-F23</f>
        <v>32490</v>
      </c>
      <c r="V23" s="42"/>
      <c r="W23" s="42"/>
      <c r="X23" s="42"/>
      <c r="Y23" s="42"/>
      <c r="Z23" s="42"/>
    </row>
    <row r="24" ht="15.75" customHeight="1" spans="1:26" x14ac:dyDescent="0.25">
      <c r="A24" s="48"/>
      <c r="B24" s="25"/>
      <c r="C24" s="35">
        <v>162</v>
      </c>
      <c r="D24" s="25" t="s">
        <v>41</v>
      </c>
      <c r="E24" s="25" t="s">
        <v>54</v>
      </c>
      <c r="F24" s="53">
        <v>4300</v>
      </c>
      <c r="G24" s="50"/>
      <c r="H24" s="35">
        <v>43</v>
      </c>
      <c r="I24" s="35">
        <v>100</v>
      </c>
      <c r="J24" s="35">
        <v>4300</v>
      </c>
      <c r="K24" s="25"/>
      <c r="L24" s="25"/>
      <c r="M24" s="25"/>
      <c r="N24" s="25"/>
      <c r="O24" s="25"/>
      <c r="P24" s="25"/>
      <c r="Q24" s="25"/>
      <c r="R24" s="25"/>
      <c r="S24" s="25"/>
      <c r="T24" s="36"/>
      <c r="U24" s="53">
        <f t="shared" si="2"/>
        <v>28190</v>
      </c>
      <c r="V24" s="42"/>
      <c r="W24" s="42"/>
      <c r="X24" s="42"/>
      <c r="Y24" s="42"/>
      <c r="Z24" s="42"/>
    </row>
    <row r="25" ht="15.75" customHeight="1" spans="1:26" x14ac:dyDescent="0.25">
      <c r="A25" s="48"/>
      <c r="B25" s="25"/>
      <c r="C25" s="35">
        <v>163</v>
      </c>
      <c r="D25" s="25" t="s">
        <v>41</v>
      </c>
      <c r="E25" s="25" t="s">
        <v>215</v>
      </c>
      <c r="F25" s="53">
        <v>10100</v>
      </c>
      <c r="G25" s="50"/>
      <c r="H25" s="25">
        <v>101</v>
      </c>
      <c r="I25" s="25">
        <v>100</v>
      </c>
      <c r="J25" s="35">
        <v>10100</v>
      </c>
      <c r="K25" s="25"/>
      <c r="L25" s="35"/>
      <c r="M25" s="25"/>
      <c r="N25" s="25"/>
      <c r="O25" s="25"/>
      <c r="P25" s="25"/>
      <c r="Q25" s="25"/>
      <c r="R25" s="25"/>
      <c r="S25" s="25"/>
      <c r="T25" s="36"/>
      <c r="U25" s="53">
        <f t="shared" si="2"/>
        <v>18090</v>
      </c>
      <c r="V25" s="42"/>
      <c r="W25" s="42"/>
      <c r="X25" s="42"/>
      <c r="Y25" s="42"/>
      <c r="Z25" s="42"/>
    </row>
    <row r="26" ht="15.75" customHeight="1" spans="1:26" x14ac:dyDescent="0.25">
      <c r="A26" s="48"/>
      <c r="B26" s="25"/>
      <c r="C26" s="35">
        <v>164</v>
      </c>
      <c r="D26" s="25" t="s">
        <v>41</v>
      </c>
      <c r="E26" s="25" t="s">
        <v>52</v>
      </c>
      <c r="F26" s="53">
        <v>1100</v>
      </c>
      <c r="G26" s="50"/>
      <c r="H26" s="25">
        <v>11</v>
      </c>
      <c r="I26" s="25">
        <v>100</v>
      </c>
      <c r="J26" s="35">
        <v>1100</v>
      </c>
      <c r="K26" s="25"/>
      <c r="L26" s="25"/>
      <c r="M26" s="25"/>
      <c r="N26" s="25"/>
      <c r="O26" s="25"/>
      <c r="P26" s="25"/>
      <c r="Q26" s="25"/>
      <c r="R26" s="25"/>
      <c r="S26" s="25"/>
      <c r="T26" s="36"/>
      <c r="U26" s="53">
        <f t="shared" si="2"/>
        <v>16990</v>
      </c>
      <c r="V26" s="42"/>
      <c r="W26" s="42"/>
      <c r="X26" s="42"/>
      <c r="Y26" s="42"/>
      <c r="Z26" s="42"/>
    </row>
    <row r="27" ht="15.75" customHeight="1" spans="1:26" x14ac:dyDescent="0.25">
      <c r="A27" s="48"/>
      <c r="B27" s="25"/>
      <c r="C27" s="35">
        <v>165</v>
      </c>
      <c r="D27" s="23" t="s">
        <v>216</v>
      </c>
      <c r="E27" s="25" t="s">
        <v>119</v>
      </c>
      <c r="F27" s="35">
        <v>500</v>
      </c>
      <c r="G27" s="50"/>
      <c r="H27" s="25"/>
      <c r="I27" s="25"/>
      <c r="J27" s="35"/>
      <c r="K27" s="25"/>
      <c r="L27" s="25"/>
      <c r="M27" s="25"/>
      <c r="N27" s="25">
        <v>500</v>
      </c>
      <c r="O27" s="25"/>
      <c r="P27" s="25"/>
      <c r="Q27" s="25"/>
      <c r="R27" s="25"/>
      <c r="S27" s="25"/>
      <c r="T27" s="36"/>
      <c r="U27" s="53">
        <f t="shared" si="2"/>
        <v>16490</v>
      </c>
      <c r="V27" s="42"/>
      <c r="W27" s="42"/>
      <c r="X27" s="42"/>
      <c r="Y27" s="42"/>
      <c r="Z27" s="42"/>
    </row>
    <row r="28" ht="15.75" customHeight="1" spans="1:26" x14ac:dyDescent="0.25">
      <c r="A28" s="48"/>
      <c r="B28" s="25"/>
      <c r="C28" s="35">
        <v>166</v>
      </c>
      <c r="D28" s="23" t="s">
        <v>181</v>
      </c>
      <c r="E28" s="25" t="s">
        <v>221</v>
      </c>
      <c r="F28" s="35">
        <v>400</v>
      </c>
      <c r="G28" s="50"/>
      <c r="H28" s="25"/>
      <c r="I28" s="25"/>
      <c r="J28" s="35"/>
      <c r="K28" s="25"/>
      <c r="L28" s="35"/>
      <c r="M28" s="25"/>
      <c r="N28" s="25"/>
      <c r="O28" s="25"/>
      <c r="P28" s="25"/>
      <c r="Q28" s="25">
        <v>400</v>
      </c>
      <c r="R28" s="25"/>
      <c r="S28" s="25"/>
      <c r="T28" s="36"/>
      <c r="U28" s="53">
        <f t="shared" si="2"/>
        <v>16090</v>
      </c>
      <c r="V28" s="42"/>
      <c r="W28" s="42"/>
      <c r="X28" s="42"/>
      <c r="Y28" s="42"/>
      <c r="Z28" s="42"/>
    </row>
    <row r="29" ht="15.75" customHeight="1" spans="1:26" x14ac:dyDescent="0.25">
      <c r="A29" s="48"/>
      <c r="B29" s="25"/>
      <c r="C29" s="35">
        <v>167</v>
      </c>
      <c r="D29" s="23" t="s">
        <v>222</v>
      </c>
      <c r="E29" s="23" t="s">
        <v>223</v>
      </c>
      <c r="F29" s="24">
        <v>130</v>
      </c>
      <c r="G29" s="50"/>
      <c r="H29" s="25"/>
      <c r="I29" s="25"/>
      <c r="J29" s="35"/>
      <c r="K29" s="25"/>
      <c r="L29" s="35"/>
      <c r="M29" s="25"/>
      <c r="N29" s="25"/>
      <c r="O29" s="25"/>
      <c r="P29" s="25"/>
      <c r="Q29" s="25">
        <v>130</v>
      </c>
      <c r="R29" s="25"/>
      <c r="S29" s="25"/>
      <c r="T29" s="36"/>
      <c r="U29" s="53">
        <f t="shared" si="2"/>
        <v>15960</v>
      </c>
      <c r="V29" s="42"/>
      <c r="W29" s="42"/>
      <c r="X29" s="42"/>
      <c r="Y29" s="42"/>
      <c r="Z29" s="42"/>
    </row>
    <row r="30" ht="15.75" customHeight="1" spans="1:26" x14ac:dyDescent="0.25">
      <c r="A30" s="48"/>
      <c r="B30" s="25"/>
      <c r="C30" s="35">
        <v>168</v>
      </c>
      <c r="D30" s="23" t="s">
        <v>224</v>
      </c>
      <c r="E30" s="23" t="s">
        <v>28</v>
      </c>
      <c r="F30" s="24">
        <v>545</v>
      </c>
      <c r="G30" s="50"/>
      <c r="H30" s="25"/>
      <c r="I30" s="25"/>
      <c r="J30" s="35"/>
      <c r="K30" s="25"/>
      <c r="L30" s="35"/>
      <c r="M30" s="25">
        <v>545</v>
      </c>
      <c r="N30" s="25"/>
      <c r="O30" s="25"/>
      <c r="P30" s="25"/>
      <c r="Q30" s="25"/>
      <c r="R30" s="25"/>
      <c r="S30" s="25"/>
      <c r="T30" s="36"/>
      <c r="U30" s="53">
        <f t="shared" si="2"/>
        <v>15415</v>
      </c>
      <c r="V30" s="42"/>
      <c r="W30" s="42"/>
      <c r="X30" s="42"/>
      <c r="Y30" s="42"/>
      <c r="Z30" s="42"/>
    </row>
    <row r="31" ht="15.75" customHeight="1" spans="1:26" x14ac:dyDescent="0.25">
      <c r="A31" s="48"/>
      <c r="B31" s="25" t="s">
        <v>225</v>
      </c>
      <c r="C31" s="35">
        <v>169</v>
      </c>
      <c r="D31" s="23" t="s">
        <v>216</v>
      </c>
      <c r="E31" s="25" t="s">
        <v>119</v>
      </c>
      <c r="F31" s="35">
        <v>500</v>
      </c>
      <c r="G31" s="50"/>
      <c r="H31" s="25"/>
      <c r="I31" s="25"/>
      <c r="J31" s="35"/>
      <c r="K31" s="25"/>
      <c r="L31" s="35"/>
      <c r="M31" s="25"/>
      <c r="N31" s="25">
        <v>500</v>
      </c>
      <c r="O31" s="25"/>
      <c r="P31" s="25"/>
      <c r="Q31" s="25"/>
      <c r="R31" s="25"/>
      <c r="S31" s="25"/>
      <c r="T31" s="36"/>
      <c r="U31" s="53">
        <f t="shared" si="2"/>
        <v>14915</v>
      </c>
      <c r="V31" s="42"/>
      <c r="W31" s="42"/>
      <c r="X31" s="42"/>
      <c r="Y31" s="42"/>
      <c r="Z31" s="42"/>
    </row>
    <row r="32" ht="15.75" customHeight="1" spans="1:26" x14ac:dyDescent="0.25">
      <c r="A32" s="48"/>
      <c r="B32" s="25"/>
      <c r="C32" s="35">
        <v>170</v>
      </c>
      <c r="D32" s="23" t="s">
        <v>181</v>
      </c>
      <c r="E32" s="25"/>
      <c r="F32" s="35">
        <v>450</v>
      </c>
      <c r="G32" s="50"/>
      <c r="H32" s="25"/>
      <c r="I32" s="25"/>
      <c r="J32" s="35"/>
      <c r="K32" s="25"/>
      <c r="L32" s="35"/>
      <c r="M32" s="25"/>
      <c r="N32" s="25"/>
      <c r="O32" s="25"/>
      <c r="P32" s="25"/>
      <c r="Q32" s="25">
        <v>450</v>
      </c>
      <c r="R32" s="25"/>
      <c r="S32" s="25"/>
      <c r="T32" s="36"/>
      <c r="U32" s="53">
        <f t="shared" si="2"/>
        <v>14465</v>
      </c>
      <c r="V32" s="42"/>
      <c r="W32" s="42"/>
      <c r="X32" s="42"/>
      <c r="Y32" s="42"/>
      <c r="Z32" s="42"/>
    </row>
    <row r="33" ht="15.75" customHeight="1" spans="1:26" x14ac:dyDescent="0.25">
      <c r="A33" s="48"/>
      <c r="B33" s="25"/>
      <c r="C33" s="35">
        <v>171</v>
      </c>
      <c r="D33" s="23" t="s">
        <v>222</v>
      </c>
      <c r="E33" s="23"/>
      <c r="F33" s="24">
        <v>150</v>
      </c>
      <c r="G33" s="50"/>
      <c r="H33" s="25"/>
      <c r="I33" s="25"/>
      <c r="J33" s="35"/>
      <c r="K33" s="25"/>
      <c r="L33" s="35"/>
      <c r="M33" s="25"/>
      <c r="N33" s="25"/>
      <c r="O33" s="25"/>
      <c r="P33" s="25"/>
      <c r="Q33" s="25">
        <v>150</v>
      </c>
      <c r="R33" s="25"/>
      <c r="S33" s="25"/>
      <c r="T33" s="36"/>
      <c r="U33" s="53">
        <f t="shared" si="2"/>
        <v>14315</v>
      </c>
      <c r="V33" s="42"/>
      <c r="W33" s="42"/>
      <c r="X33" s="42"/>
      <c r="Y33" s="42"/>
      <c r="Z33" s="42"/>
    </row>
    <row r="34" ht="15.75" customHeight="1" spans="1:26" x14ac:dyDescent="0.25">
      <c r="A34" s="48"/>
      <c r="B34" s="25"/>
      <c r="C34" s="35">
        <v>172</v>
      </c>
      <c r="D34" s="23" t="s">
        <v>41</v>
      </c>
      <c r="E34" s="23" t="s">
        <v>226</v>
      </c>
      <c r="F34" s="54">
        <v>3100</v>
      </c>
      <c r="G34" s="50"/>
      <c r="H34" s="25">
        <v>31</v>
      </c>
      <c r="I34" s="25">
        <v>100</v>
      </c>
      <c r="J34" s="35">
        <v>3100</v>
      </c>
      <c r="K34" s="25"/>
      <c r="L34" s="35"/>
      <c r="M34" s="25"/>
      <c r="N34" s="25"/>
      <c r="O34" s="25"/>
      <c r="P34" s="25"/>
      <c r="Q34" s="25"/>
      <c r="R34" s="25"/>
      <c r="S34" s="25"/>
      <c r="T34" s="36"/>
      <c r="U34" s="53">
        <f t="shared" si="2"/>
        <v>11215</v>
      </c>
      <c r="V34" s="42"/>
      <c r="W34" s="42"/>
      <c r="X34" s="42"/>
      <c r="Y34" s="42"/>
      <c r="Z34" s="42"/>
    </row>
    <row r="35" ht="15.75" customHeight="1" spans="1:26" x14ac:dyDescent="0.25">
      <c r="A35" s="48"/>
      <c r="B35" s="25" t="s">
        <v>227</v>
      </c>
      <c r="C35" s="35">
        <v>173</v>
      </c>
      <c r="D35" s="23" t="s">
        <v>216</v>
      </c>
      <c r="E35" s="25" t="s">
        <v>119</v>
      </c>
      <c r="F35" s="35">
        <v>500</v>
      </c>
      <c r="G35" s="50"/>
      <c r="H35" s="35"/>
      <c r="I35" s="35"/>
      <c r="J35" s="35"/>
      <c r="K35" s="25"/>
      <c r="L35" s="25"/>
      <c r="M35" s="25"/>
      <c r="N35" s="25">
        <v>500</v>
      </c>
      <c r="O35" s="25"/>
      <c r="P35" s="25"/>
      <c r="Q35" s="25"/>
      <c r="R35" s="25"/>
      <c r="S35" s="25"/>
      <c r="T35" s="36"/>
      <c r="U35" s="53">
        <f t="shared" si="2"/>
        <v>10715</v>
      </c>
      <c r="V35" s="42"/>
      <c r="W35" s="42"/>
      <c r="X35" s="42"/>
      <c r="Y35" s="42"/>
      <c r="Z35" s="42"/>
    </row>
    <row r="36" ht="15.75" customHeight="1" spans="1:26" x14ac:dyDescent="0.25">
      <c r="A36" s="48"/>
      <c r="B36" s="25"/>
      <c r="C36" s="35">
        <v>174</v>
      </c>
      <c r="D36" s="23" t="s">
        <v>181</v>
      </c>
      <c r="E36" s="25" t="s">
        <v>228</v>
      </c>
      <c r="F36" s="35">
        <v>400</v>
      </c>
      <c r="G36" s="50"/>
      <c r="H36" s="35"/>
      <c r="I36" s="35"/>
      <c r="J36" s="35"/>
      <c r="K36" s="25"/>
      <c r="L36" s="25"/>
      <c r="M36" s="25"/>
      <c r="N36" s="25"/>
      <c r="O36" s="25"/>
      <c r="P36" s="25"/>
      <c r="Q36" s="25">
        <v>400</v>
      </c>
      <c r="R36" s="25"/>
      <c r="S36" s="25"/>
      <c r="T36" s="36"/>
      <c r="U36" s="53">
        <f t="shared" si="2"/>
        <v>10315</v>
      </c>
      <c r="V36" s="42"/>
      <c r="W36" s="42"/>
      <c r="X36" s="42"/>
      <c r="Y36" s="42"/>
      <c r="Z36" s="42"/>
    </row>
    <row r="37" ht="15.75" customHeight="1" spans="1:26" x14ac:dyDescent="0.25">
      <c r="A37" s="48"/>
      <c r="B37" s="25"/>
      <c r="C37" s="35">
        <v>175</v>
      </c>
      <c r="D37" s="25" t="s">
        <v>229</v>
      </c>
      <c r="E37" s="23" t="s">
        <v>230</v>
      </c>
      <c r="F37" s="35">
        <v>435</v>
      </c>
      <c r="G37" s="50"/>
      <c r="H37" s="25"/>
      <c r="I37" s="25"/>
      <c r="J37" s="35"/>
      <c r="K37" s="25"/>
      <c r="L37" s="25"/>
      <c r="M37" s="25"/>
      <c r="N37" s="25"/>
      <c r="O37" s="25"/>
      <c r="P37" s="25"/>
      <c r="Q37" s="25">
        <v>435</v>
      </c>
      <c r="R37" s="25"/>
      <c r="S37" s="25"/>
      <c r="T37" s="36"/>
      <c r="U37" s="53">
        <f t="shared" si="2"/>
        <v>9880</v>
      </c>
      <c r="V37" s="42"/>
      <c r="W37" s="42"/>
      <c r="X37" s="42"/>
      <c r="Y37" s="42"/>
      <c r="Z37" s="42"/>
    </row>
    <row r="38" ht="15.75" customHeight="1" spans="1:26" x14ac:dyDescent="0.25">
      <c r="A38" s="48"/>
      <c r="B38" s="25" t="s">
        <v>231</v>
      </c>
      <c r="C38" s="35"/>
      <c r="D38" s="23" t="s">
        <v>232</v>
      </c>
      <c r="E38" s="25"/>
      <c r="F38" s="25"/>
      <c r="G38" s="50">
        <v>50000</v>
      </c>
      <c r="H38" s="25"/>
      <c r="I38" s="25"/>
      <c r="J38" s="35"/>
      <c r="K38" s="25"/>
      <c r="L38" s="25"/>
      <c r="M38" s="25"/>
      <c r="N38" s="25"/>
      <c r="O38" s="25"/>
      <c r="P38" s="25"/>
      <c r="Q38" s="25"/>
      <c r="R38" s="35"/>
      <c r="S38" s="25"/>
      <c r="T38" s="36"/>
      <c r="U38" s="53">
        <f>U37-F38+50000</f>
        <v>59880</v>
      </c>
      <c r="V38" s="42"/>
      <c r="W38" s="42"/>
      <c r="X38" s="42"/>
      <c r="Y38" s="42"/>
      <c r="Z38" s="42"/>
    </row>
    <row r="39" ht="15.75" customHeight="1" spans="1:26" x14ac:dyDescent="0.25">
      <c r="A39" s="48"/>
      <c r="B39" s="25"/>
      <c r="C39" s="35">
        <v>176</v>
      </c>
      <c r="D39" s="23" t="s">
        <v>233</v>
      </c>
      <c r="E39" s="23" t="s">
        <v>234</v>
      </c>
      <c r="F39" s="24">
        <v>500</v>
      </c>
      <c r="G39" s="50"/>
      <c r="H39" s="25"/>
      <c r="I39" s="25"/>
      <c r="J39" s="35"/>
      <c r="K39" s="25"/>
      <c r="L39" s="25"/>
      <c r="M39" s="25"/>
      <c r="N39" s="25"/>
      <c r="O39" s="25"/>
      <c r="P39" s="25"/>
      <c r="Q39" s="35">
        <v>500</v>
      </c>
      <c r="R39" s="25"/>
      <c r="S39" s="25"/>
      <c r="T39" s="36"/>
      <c r="U39" s="53">
        <f t="shared" ref="U39:U53" si="3">U38-F39</f>
        <v>59380</v>
      </c>
      <c r="V39" s="42"/>
      <c r="W39" s="42"/>
      <c r="X39" s="42"/>
      <c r="Y39" s="42"/>
      <c r="Z39" s="42"/>
    </row>
    <row r="40" ht="15.75" customHeight="1" spans="1:26" x14ac:dyDescent="0.25">
      <c r="A40" s="48"/>
      <c r="B40" s="25"/>
      <c r="C40" s="35">
        <v>177</v>
      </c>
      <c r="D40" s="23" t="s">
        <v>41</v>
      </c>
      <c r="E40" s="23" t="s">
        <v>69</v>
      </c>
      <c r="F40" s="54">
        <v>6400</v>
      </c>
      <c r="G40" s="50"/>
      <c r="H40" s="35">
        <v>64</v>
      </c>
      <c r="I40" s="35">
        <v>100</v>
      </c>
      <c r="J40" s="35">
        <v>6400</v>
      </c>
      <c r="K40" s="25"/>
      <c r="L40" s="25"/>
      <c r="M40" s="25"/>
      <c r="N40" s="25"/>
      <c r="O40" s="25"/>
      <c r="P40" s="25"/>
      <c r="Q40" s="25"/>
      <c r="R40" s="25"/>
      <c r="S40" s="25"/>
      <c r="T40" s="36"/>
      <c r="U40" s="53">
        <f t="shared" si="3"/>
        <v>52980</v>
      </c>
      <c r="V40" s="42"/>
      <c r="W40" s="42"/>
      <c r="X40" s="42"/>
      <c r="Y40" s="42"/>
      <c r="Z40" s="42"/>
    </row>
    <row r="41" ht="15.75" customHeight="1" spans="1:26" x14ac:dyDescent="0.25">
      <c r="A41" s="48"/>
      <c r="B41" s="25"/>
      <c r="C41" s="35">
        <v>178</v>
      </c>
      <c r="D41" s="23" t="s">
        <v>41</v>
      </c>
      <c r="E41" s="25" t="s">
        <v>226</v>
      </c>
      <c r="F41" s="53">
        <v>3400</v>
      </c>
      <c r="G41" s="50"/>
      <c r="H41" s="25">
        <v>34</v>
      </c>
      <c r="I41" s="25">
        <v>100</v>
      </c>
      <c r="J41" s="35">
        <v>3400</v>
      </c>
      <c r="K41" s="25"/>
      <c r="L41" s="25"/>
      <c r="M41" s="25"/>
      <c r="N41" s="25"/>
      <c r="O41" s="25"/>
      <c r="P41" s="25"/>
      <c r="Q41" s="25"/>
      <c r="R41" s="25"/>
      <c r="S41" s="25"/>
      <c r="T41" s="36"/>
      <c r="U41" s="53">
        <f t="shared" si="3"/>
        <v>49580</v>
      </c>
      <c r="V41" s="42"/>
      <c r="W41" s="42"/>
      <c r="X41" s="42"/>
      <c r="Y41" s="42"/>
      <c r="Z41" s="42"/>
    </row>
    <row r="42" ht="15.75" customHeight="1" spans="1:26" x14ac:dyDescent="0.25">
      <c r="A42" s="48"/>
      <c r="B42" s="25"/>
      <c r="C42" s="35">
        <v>179</v>
      </c>
      <c r="D42" s="23" t="s">
        <v>41</v>
      </c>
      <c r="E42" s="25" t="s">
        <v>235</v>
      </c>
      <c r="F42" s="53">
        <v>4800</v>
      </c>
      <c r="G42" s="50"/>
      <c r="H42" s="35">
        <v>48</v>
      </c>
      <c r="I42" s="35">
        <v>100</v>
      </c>
      <c r="J42" s="35">
        <v>4800</v>
      </c>
      <c r="K42" s="25"/>
      <c r="L42" s="25"/>
      <c r="M42" s="25"/>
      <c r="N42" s="25"/>
      <c r="O42" s="25"/>
      <c r="P42" s="25"/>
      <c r="Q42" s="25"/>
      <c r="R42" s="25"/>
      <c r="S42" s="25"/>
      <c r="T42" s="36"/>
      <c r="U42" s="53">
        <f t="shared" si="3"/>
        <v>44780</v>
      </c>
      <c r="V42" s="42"/>
      <c r="W42" s="42"/>
      <c r="X42" s="42"/>
      <c r="Y42" s="42"/>
      <c r="Z42" s="42"/>
    </row>
    <row r="43" ht="15.75" customHeight="1" spans="1:26" x14ac:dyDescent="0.25">
      <c r="A43" s="48"/>
      <c r="B43" s="25"/>
      <c r="C43" s="35">
        <v>180</v>
      </c>
      <c r="D43" s="23" t="s">
        <v>41</v>
      </c>
      <c r="E43" s="25" t="s">
        <v>236</v>
      </c>
      <c r="F43" s="53">
        <v>9200</v>
      </c>
      <c r="G43" s="50"/>
      <c r="H43" s="35">
        <v>92</v>
      </c>
      <c r="I43" s="35">
        <v>100</v>
      </c>
      <c r="J43" s="35">
        <v>9200</v>
      </c>
      <c r="K43" s="25"/>
      <c r="L43" s="25"/>
      <c r="M43" s="25"/>
      <c r="N43" s="25"/>
      <c r="O43" s="25"/>
      <c r="P43" s="25"/>
      <c r="Q43" s="25"/>
      <c r="R43" s="25"/>
      <c r="S43" s="25"/>
      <c r="T43" s="36"/>
      <c r="U43" s="53">
        <f t="shared" si="3"/>
        <v>35580</v>
      </c>
      <c r="V43" s="42"/>
      <c r="W43" s="42"/>
      <c r="X43" s="42"/>
      <c r="Y43" s="42"/>
      <c r="Z43" s="42"/>
    </row>
    <row r="44" ht="15.75" customHeight="1" spans="1:26" x14ac:dyDescent="0.25">
      <c r="A44" s="48"/>
      <c r="B44" s="25" t="s">
        <v>237</v>
      </c>
      <c r="C44" s="35">
        <v>181</v>
      </c>
      <c r="D44" s="25" t="s">
        <v>216</v>
      </c>
      <c r="E44" s="25" t="s">
        <v>119</v>
      </c>
      <c r="F44" s="53">
        <v>1102</v>
      </c>
      <c r="G44" s="50"/>
      <c r="H44" s="35"/>
      <c r="I44" s="35"/>
      <c r="J44" s="35"/>
      <c r="K44" s="25"/>
      <c r="L44" s="25"/>
      <c r="M44" s="25"/>
      <c r="N44" s="25">
        <v>1102</v>
      </c>
      <c r="O44" s="25"/>
      <c r="P44" s="25"/>
      <c r="Q44" s="25"/>
      <c r="R44" s="25"/>
      <c r="S44" s="25"/>
      <c r="T44" s="36"/>
      <c r="U44" s="53">
        <f t="shared" si="3"/>
        <v>34478</v>
      </c>
      <c r="V44" s="42"/>
      <c r="W44" s="42"/>
      <c r="X44" s="42"/>
      <c r="Y44" s="42"/>
      <c r="Z44" s="42"/>
    </row>
    <row r="45" ht="15.75" customHeight="1" spans="1:26" x14ac:dyDescent="0.25">
      <c r="A45" s="48"/>
      <c r="B45" s="25"/>
      <c r="C45" s="35">
        <v>182</v>
      </c>
      <c r="D45" s="25" t="s">
        <v>181</v>
      </c>
      <c r="E45" s="25" t="s">
        <v>238</v>
      </c>
      <c r="F45" s="53">
        <v>350</v>
      </c>
      <c r="G45" s="50"/>
      <c r="H45" s="25"/>
      <c r="I45" s="25"/>
      <c r="J45" s="25"/>
      <c r="K45" s="25"/>
      <c r="L45" s="25"/>
      <c r="M45" s="25"/>
      <c r="N45" s="25"/>
      <c r="O45" s="25"/>
      <c r="P45" s="25"/>
      <c r="Q45" s="35">
        <v>350</v>
      </c>
      <c r="R45" s="25"/>
      <c r="S45" s="25"/>
      <c r="T45" s="36"/>
      <c r="U45" s="53">
        <f t="shared" si="3"/>
        <v>34128</v>
      </c>
      <c r="V45" s="42"/>
      <c r="W45" s="42"/>
      <c r="X45" s="42"/>
      <c r="Y45" s="42"/>
      <c r="Z45" s="42"/>
    </row>
    <row r="46" ht="15.75" customHeight="1" spans="1:26" x14ac:dyDescent="0.25">
      <c r="A46" s="48"/>
      <c r="B46" s="25"/>
      <c r="C46" s="35">
        <v>183</v>
      </c>
      <c r="D46" s="25" t="s">
        <v>239</v>
      </c>
      <c r="E46" s="25" t="s">
        <v>240</v>
      </c>
      <c r="F46" s="53">
        <v>150</v>
      </c>
      <c r="G46" s="50"/>
      <c r="H46" s="25"/>
      <c r="I46" s="25"/>
      <c r="J46" s="25"/>
      <c r="K46" s="25"/>
      <c r="L46" s="25"/>
      <c r="M46" s="25"/>
      <c r="N46" s="35"/>
      <c r="O46" s="25"/>
      <c r="P46" s="25"/>
      <c r="Q46" s="25">
        <v>150</v>
      </c>
      <c r="R46" s="25"/>
      <c r="S46" s="25"/>
      <c r="T46" s="36"/>
      <c r="U46" s="53">
        <f t="shared" si="3"/>
        <v>33978</v>
      </c>
      <c r="V46" s="42"/>
      <c r="W46" s="42"/>
      <c r="X46" s="42"/>
      <c r="Y46" s="42"/>
      <c r="Z46" s="42"/>
    </row>
    <row r="47" ht="15.75" customHeight="1" spans="1:26" x14ac:dyDescent="0.25">
      <c r="A47" s="48"/>
      <c r="B47" s="25"/>
      <c r="C47" s="35">
        <v>184</v>
      </c>
      <c r="D47" s="25" t="s">
        <v>41</v>
      </c>
      <c r="E47" s="25" t="s">
        <v>241</v>
      </c>
      <c r="F47" s="53">
        <v>16900</v>
      </c>
      <c r="G47" s="50"/>
      <c r="H47" s="25">
        <v>169</v>
      </c>
      <c r="I47" s="25">
        <v>100</v>
      </c>
      <c r="J47" s="25">
        <v>16900</v>
      </c>
      <c r="K47" s="25"/>
      <c r="L47" s="25"/>
      <c r="M47" s="25"/>
      <c r="N47" s="25"/>
      <c r="O47" s="25"/>
      <c r="P47" s="25"/>
      <c r="Q47" s="25"/>
      <c r="R47" s="25"/>
      <c r="S47" s="25"/>
      <c r="T47" s="36"/>
      <c r="U47" s="53">
        <f t="shared" si="3"/>
        <v>17078</v>
      </c>
      <c r="V47" s="42"/>
      <c r="W47" s="42"/>
      <c r="X47" s="42"/>
      <c r="Y47" s="42"/>
      <c r="Z47" s="42"/>
    </row>
    <row r="48" ht="15.75" customHeight="1" spans="1:26" x14ac:dyDescent="0.25">
      <c r="A48" s="48"/>
      <c r="B48" s="25"/>
      <c r="C48" s="35">
        <v>185</v>
      </c>
      <c r="D48" s="25" t="s">
        <v>41</v>
      </c>
      <c r="E48" s="25" t="s">
        <v>54</v>
      </c>
      <c r="F48" s="53">
        <v>18300</v>
      </c>
      <c r="G48" s="50"/>
      <c r="H48" s="25">
        <v>183</v>
      </c>
      <c r="I48" s="25">
        <v>100</v>
      </c>
      <c r="J48" s="25">
        <v>18300</v>
      </c>
      <c r="K48" s="25"/>
      <c r="L48" s="25"/>
      <c r="M48" s="25"/>
      <c r="N48" s="25"/>
      <c r="O48" s="25"/>
      <c r="P48" s="25"/>
      <c r="Q48" s="25"/>
      <c r="R48" s="25"/>
      <c r="S48" s="25"/>
      <c r="T48" s="36"/>
      <c r="U48" s="53">
        <f t="shared" si="3"/>
        <v>-1222</v>
      </c>
      <c r="V48" s="42"/>
      <c r="W48" s="42"/>
      <c r="X48" s="42"/>
      <c r="Y48" s="42"/>
      <c r="Z48" s="42"/>
    </row>
    <row r="49" ht="15.75" customHeight="1" spans="1:26" x14ac:dyDescent="0.25">
      <c r="A49" s="48"/>
      <c r="B49" s="25" t="s">
        <v>242</v>
      </c>
      <c r="C49" s="35">
        <v>186</v>
      </c>
      <c r="D49" s="25" t="s">
        <v>13</v>
      </c>
      <c r="E49" s="25" t="s">
        <v>243</v>
      </c>
      <c r="F49" s="53">
        <v>8500</v>
      </c>
      <c r="G49" s="5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>
        <v>8500</v>
      </c>
      <c r="S49" s="25"/>
      <c r="T49" s="36"/>
      <c r="U49" s="53">
        <f t="shared" si="3"/>
        <v>-9722</v>
      </c>
      <c r="V49" s="42"/>
      <c r="W49" s="42"/>
      <c r="X49" s="42"/>
      <c r="Y49" s="42"/>
      <c r="Z49" s="42"/>
    </row>
    <row r="50" ht="15.75" customHeight="1" spans="1:26" x14ac:dyDescent="0.25">
      <c r="A50" s="48"/>
      <c r="B50" s="25"/>
      <c r="C50" s="35">
        <v>187</v>
      </c>
      <c r="D50" s="25" t="s">
        <v>57</v>
      </c>
      <c r="E50" s="25" t="s">
        <v>244</v>
      </c>
      <c r="F50" s="35">
        <v>360</v>
      </c>
      <c r="G50" s="50"/>
      <c r="H50" s="25"/>
      <c r="I50" s="25"/>
      <c r="J50" s="25"/>
      <c r="K50" s="25"/>
      <c r="L50" s="25"/>
      <c r="M50" s="25"/>
      <c r="N50" s="25"/>
      <c r="O50" s="25"/>
      <c r="P50" s="25"/>
      <c r="Q50" s="25">
        <v>360</v>
      </c>
      <c r="R50" s="25"/>
      <c r="S50" s="25"/>
      <c r="T50" s="36"/>
      <c r="U50" s="53">
        <f t="shared" si="3"/>
        <v>-10082</v>
      </c>
      <c r="V50" s="42"/>
      <c r="W50" s="42"/>
      <c r="X50" s="42"/>
      <c r="Y50" s="42"/>
      <c r="Z50" s="42"/>
    </row>
    <row r="51" ht="15.75" customHeight="1" spans="1:26" x14ac:dyDescent="0.25">
      <c r="A51" s="48"/>
      <c r="B51" s="25"/>
      <c r="C51" s="35">
        <v>188</v>
      </c>
      <c r="D51" s="25" t="s">
        <v>41</v>
      </c>
      <c r="E51" s="25" t="s">
        <v>54</v>
      </c>
      <c r="F51" s="53">
        <v>7800</v>
      </c>
      <c r="G51" s="50"/>
      <c r="H51" s="25">
        <v>78</v>
      </c>
      <c r="I51" s="25">
        <v>100</v>
      </c>
      <c r="J51" s="25">
        <v>7800</v>
      </c>
      <c r="K51" s="25"/>
      <c r="L51" s="25"/>
      <c r="M51" s="25"/>
      <c r="N51" s="25"/>
      <c r="O51" s="25"/>
      <c r="P51" s="25"/>
      <c r="Q51" s="25"/>
      <c r="R51" s="25"/>
      <c r="S51" s="25"/>
      <c r="T51" s="36"/>
      <c r="U51" s="53">
        <f t="shared" si="3"/>
        <v>-17882</v>
      </c>
      <c r="V51" s="42"/>
      <c r="W51" s="42"/>
      <c r="X51" s="42"/>
      <c r="Y51" s="42"/>
      <c r="Z51" s="42"/>
    </row>
    <row r="52" ht="15.75" customHeight="1" spans="1:26" x14ac:dyDescent="0.25">
      <c r="A52" s="48"/>
      <c r="B52" s="25"/>
      <c r="C52" s="35">
        <v>189</v>
      </c>
      <c r="D52" s="25" t="s">
        <v>41</v>
      </c>
      <c r="E52" s="25" t="s">
        <v>241</v>
      </c>
      <c r="F52" s="53">
        <v>15900</v>
      </c>
      <c r="G52" s="50"/>
      <c r="H52" s="25">
        <v>159</v>
      </c>
      <c r="I52" s="25">
        <v>100</v>
      </c>
      <c r="J52" s="25">
        <v>15900</v>
      </c>
      <c r="K52" s="25"/>
      <c r="L52" s="25"/>
      <c r="M52" s="25"/>
      <c r="N52" s="25"/>
      <c r="O52" s="25"/>
      <c r="P52" s="25"/>
      <c r="Q52" s="25"/>
      <c r="R52" s="25"/>
      <c r="S52" s="25"/>
      <c r="T52" s="36"/>
      <c r="U52" s="53">
        <f t="shared" si="3"/>
        <v>-33782</v>
      </c>
      <c r="V52" s="42"/>
      <c r="W52" s="42"/>
      <c r="X52" s="42"/>
      <c r="Y52" s="42"/>
      <c r="Z52" s="42"/>
    </row>
    <row r="53" ht="15.75" customHeight="1" spans="1:26" x14ac:dyDescent="0.25">
      <c r="A53" s="48"/>
      <c r="B53" s="25"/>
      <c r="C53" s="35">
        <v>190</v>
      </c>
      <c r="D53" s="25" t="s">
        <v>41</v>
      </c>
      <c r="E53" s="25" t="s">
        <v>69</v>
      </c>
      <c r="F53" s="53">
        <v>8800</v>
      </c>
      <c r="G53" s="50"/>
      <c r="H53" s="25">
        <v>88</v>
      </c>
      <c r="I53" s="25">
        <v>100</v>
      </c>
      <c r="J53" s="25">
        <v>8800</v>
      </c>
      <c r="K53" s="25"/>
      <c r="L53" s="25"/>
      <c r="M53" s="25"/>
      <c r="N53" s="25"/>
      <c r="O53" s="25"/>
      <c r="P53" s="25"/>
      <c r="Q53" s="25"/>
      <c r="R53" s="25"/>
      <c r="S53" s="25"/>
      <c r="T53" s="36"/>
      <c r="U53" s="53">
        <f t="shared" si="3"/>
        <v>-42582</v>
      </c>
      <c r="V53" s="42"/>
      <c r="W53" s="42"/>
      <c r="X53" s="42"/>
      <c r="Y53" s="42"/>
      <c r="Z53" s="42"/>
    </row>
    <row r="54" ht="15.75" customHeight="1" spans="1:26" x14ac:dyDescent="0.25">
      <c r="A54" s="48"/>
      <c r="B54" s="25"/>
      <c r="C54" s="35"/>
      <c r="D54" s="25" t="s">
        <v>20</v>
      </c>
      <c r="E54" s="25"/>
      <c r="F54" s="35"/>
      <c r="G54" s="50">
        <v>20000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36"/>
      <c r="U54" s="53">
        <f>U53-F54+20000</f>
        <v>-22582</v>
      </c>
      <c r="V54" s="42"/>
      <c r="W54" s="42"/>
      <c r="X54" s="42"/>
      <c r="Y54" s="42"/>
      <c r="Z54" s="42"/>
    </row>
    <row r="55" ht="15.75" customHeight="1" spans="1:26" x14ac:dyDescent="0.25">
      <c r="A55" s="48"/>
      <c r="B55" s="25" t="s">
        <v>245</v>
      </c>
      <c r="C55" s="35"/>
      <c r="D55" s="25" t="s">
        <v>20</v>
      </c>
      <c r="E55" s="25"/>
      <c r="F55" s="35"/>
      <c r="G55" s="50">
        <v>50000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36"/>
      <c r="U55" s="53">
        <f t="shared" ref="U55:U56" si="4">U54-F55+50000</f>
        <v>27418</v>
      </c>
      <c r="V55" s="42"/>
      <c r="W55" s="42"/>
      <c r="X55" s="42"/>
      <c r="Y55" s="42"/>
      <c r="Z55" s="42"/>
    </row>
    <row r="56" ht="15.75" customHeight="1" spans="1:26" x14ac:dyDescent="0.25">
      <c r="A56" s="48"/>
      <c r="B56" s="25"/>
      <c r="C56" s="35"/>
      <c r="D56" s="25" t="s">
        <v>246</v>
      </c>
      <c r="E56" s="25"/>
      <c r="F56" s="35"/>
      <c r="G56" s="50">
        <v>50000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36"/>
      <c r="U56" s="53">
        <f t="shared" si="4"/>
        <v>77418</v>
      </c>
      <c r="V56" s="42"/>
      <c r="W56" s="42"/>
      <c r="X56" s="42"/>
      <c r="Y56" s="42"/>
      <c r="Z56" s="42"/>
    </row>
    <row r="57" ht="15.75" customHeight="1" spans="1:26" x14ac:dyDescent="0.25">
      <c r="A57" s="48"/>
      <c r="B57" s="25"/>
      <c r="C57" s="35"/>
      <c r="D57" s="25" t="s">
        <v>41</v>
      </c>
      <c r="E57" s="25" t="s">
        <v>200</v>
      </c>
      <c r="F57" s="53">
        <v>34600</v>
      </c>
      <c r="G57" s="50"/>
      <c r="H57" s="25">
        <v>346</v>
      </c>
      <c r="I57" s="25">
        <v>100</v>
      </c>
      <c r="J57" s="25">
        <v>34600</v>
      </c>
      <c r="K57" s="25"/>
      <c r="L57" s="25"/>
      <c r="M57" s="25"/>
      <c r="N57" s="25"/>
      <c r="O57" s="25"/>
      <c r="P57" s="25"/>
      <c r="Q57" s="25"/>
      <c r="R57" s="25"/>
      <c r="S57" s="25"/>
      <c r="T57" s="36"/>
      <c r="U57" s="53">
        <f t="shared" ref="U57:U69" si="5">U56-F57</f>
        <v>42818</v>
      </c>
      <c r="V57" s="42"/>
      <c r="W57" s="42"/>
      <c r="X57" s="42"/>
      <c r="Y57" s="42"/>
      <c r="Z57" s="42"/>
    </row>
    <row r="58" ht="15.75" customHeight="1" spans="1:26" x14ac:dyDescent="0.25">
      <c r="A58" s="48"/>
      <c r="B58" s="25" t="s">
        <v>247</v>
      </c>
      <c r="C58" s="35"/>
      <c r="D58" s="25" t="s">
        <v>41</v>
      </c>
      <c r="E58" s="25" t="s">
        <v>69</v>
      </c>
      <c r="F58" s="53">
        <v>6100</v>
      </c>
      <c r="G58" s="50"/>
      <c r="H58" s="25">
        <v>61</v>
      </c>
      <c r="I58" s="25">
        <v>100</v>
      </c>
      <c r="J58" s="25">
        <v>6100</v>
      </c>
      <c r="K58" s="25"/>
      <c r="L58" s="25"/>
      <c r="M58" s="25"/>
      <c r="N58" s="25"/>
      <c r="O58" s="25"/>
      <c r="P58" s="25"/>
      <c r="Q58" s="25"/>
      <c r="R58" s="25"/>
      <c r="S58" s="25"/>
      <c r="T58" s="36"/>
      <c r="U58" s="53">
        <f t="shared" si="5"/>
        <v>36718</v>
      </c>
      <c r="V58" s="42"/>
      <c r="W58" s="42"/>
      <c r="X58" s="42"/>
      <c r="Y58" s="42"/>
      <c r="Z58" s="42"/>
    </row>
    <row r="59" ht="15.75" customHeight="1" spans="1:26" x14ac:dyDescent="0.25">
      <c r="A59" s="48"/>
      <c r="B59" s="25"/>
      <c r="C59" s="35"/>
      <c r="D59" s="25" t="s">
        <v>41</v>
      </c>
      <c r="E59" s="25" t="s">
        <v>52</v>
      </c>
      <c r="F59" s="53">
        <v>2400</v>
      </c>
      <c r="G59" s="50"/>
      <c r="H59" s="25">
        <v>24</v>
      </c>
      <c r="I59" s="25">
        <v>100</v>
      </c>
      <c r="J59" s="25">
        <v>2400</v>
      </c>
      <c r="K59" s="25"/>
      <c r="L59" s="25"/>
      <c r="M59" s="25"/>
      <c r="N59" s="25"/>
      <c r="O59" s="25"/>
      <c r="P59" s="25"/>
      <c r="Q59" s="25"/>
      <c r="R59" s="25"/>
      <c r="S59" s="25"/>
      <c r="T59" s="36"/>
      <c r="U59" s="53">
        <f t="shared" si="5"/>
        <v>34318</v>
      </c>
      <c r="V59" s="42"/>
      <c r="W59" s="42"/>
      <c r="X59" s="42"/>
      <c r="Y59" s="42"/>
      <c r="Z59" s="42"/>
    </row>
    <row r="60" ht="15.75" customHeight="1" spans="1:26" x14ac:dyDescent="0.25">
      <c r="A60" s="48"/>
      <c r="B60" s="25" t="s">
        <v>248</v>
      </c>
      <c r="C60" s="35">
        <v>194</v>
      </c>
      <c r="D60" s="25" t="s">
        <v>249</v>
      </c>
      <c r="E60" s="25" t="s">
        <v>28</v>
      </c>
      <c r="F60" s="35">
        <v>460</v>
      </c>
      <c r="G60" s="50"/>
      <c r="H60" s="35"/>
      <c r="I60" s="35"/>
      <c r="J60" s="35"/>
      <c r="K60" s="25"/>
      <c r="L60" s="25"/>
      <c r="M60" s="25">
        <v>460</v>
      </c>
      <c r="N60" s="25"/>
      <c r="O60" s="25"/>
      <c r="P60" s="25"/>
      <c r="Q60" s="25"/>
      <c r="R60" s="25"/>
      <c r="S60" s="25"/>
      <c r="T60" s="36"/>
      <c r="U60" s="53">
        <f t="shared" si="5"/>
        <v>33858</v>
      </c>
      <c r="V60" s="42"/>
      <c r="W60" s="42"/>
      <c r="X60" s="42"/>
      <c r="Y60" s="42"/>
      <c r="Z60" s="42"/>
    </row>
    <row r="61" ht="15.75" customHeight="1" spans="1:26" x14ac:dyDescent="0.25">
      <c r="A61" s="48"/>
      <c r="B61" s="25"/>
      <c r="C61" s="35">
        <v>195</v>
      </c>
      <c r="D61" s="25" t="s">
        <v>250</v>
      </c>
      <c r="E61" s="25" t="s">
        <v>91</v>
      </c>
      <c r="F61" s="53">
        <v>1440</v>
      </c>
      <c r="G61" s="50"/>
      <c r="H61" s="35">
        <v>24</v>
      </c>
      <c r="I61" s="35">
        <v>60</v>
      </c>
      <c r="J61" s="35">
        <f t="shared" ref="J61:J68" si="6">H61*I61</f>
        <v>1440</v>
      </c>
      <c r="K61" s="25"/>
      <c r="L61" s="25"/>
      <c r="M61" s="25"/>
      <c r="N61" s="25"/>
      <c r="O61" s="25"/>
      <c r="P61" s="25"/>
      <c r="Q61" s="25"/>
      <c r="R61" s="25"/>
      <c r="S61" s="25"/>
      <c r="T61" s="36"/>
      <c r="U61" s="53">
        <f t="shared" si="5"/>
        <v>32418</v>
      </c>
      <c r="V61" s="42"/>
      <c r="W61" s="42"/>
      <c r="X61" s="42"/>
      <c r="Y61" s="42"/>
      <c r="Z61" s="42"/>
    </row>
    <row r="62" ht="15.75" customHeight="1" spans="1:26" x14ac:dyDescent="0.25">
      <c r="A62" s="48"/>
      <c r="B62" s="25"/>
      <c r="C62" s="35">
        <v>196</v>
      </c>
      <c r="D62" s="25" t="s">
        <v>250</v>
      </c>
      <c r="E62" s="25" t="s">
        <v>251</v>
      </c>
      <c r="F62" s="53">
        <v>3000</v>
      </c>
      <c r="G62" s="50"/>
      <c r="H62" s="25">
        <v>50</v>
      </c>
      <c r="I62" s="35">
        <v>60</v>
      </c>
      <c r="J62" s="35">
        <f t="shared" si="6"/>
        <v>3000</v>
      </c>
      <c r="K62" s="25"/>
      <c r="L62" s="25"/>
      <c r="M62" s="25"/>
      <c r="N62" s="25"/>
      <c r="O62" s="25"/>
      <c r="P62" s="25"/>
      <c r="Q62" s="25"/>
      <c r="R62" s="25"/>
      <c r="S62" s="25"/>
      <c r="T62" s="36"/>
      <c r="U62" s="53">
        <f t="shared" si="5"/>
        <v>29418</v>
      </c>
      <c r="V62" s="42"/>
      <c r="W62" s="42"/>
      <c r="X62" s="42"/>
      <c r="Y62" s="42"/>
      <c r="Z62" s="42"/>
    </row>
    <row r="63" ht="15.75" customHeight="1" spans="1:26" x14ac:dyDescent="0.25">
      <c r="A63" s="48"/>
      <c r="B63" s="25"/>
      <c r="C63" s="35">
        <v>197</v>
      </c>
      <c r="D63" s="25" t="s">
        <v>250</v>
      </c>
      <c r="E63" s="25" t="s">
        <v>54</v>
      </c>
      <c r="F63" s="53">
        <v>1080</v>
      </c>
      <c r="G63" s="50"/>
      <c r="H63" s="25">
        <v>18</v>
      </c>
      <c r="I63" s="35">
        <v>60</v>
      </c>
      <c r="J63" s="35">
        <f t="shared" si="6"/>
        <v>1080</v>
      </c>
      <c r="K63" s="25"/>
      <c r="L63" s="25"/>
      <c r="M63" s="25"/>
      <c r="N63" s="25"/>
      <c r="O63" s="25"/>
      <c r="P63" s="25"/>
      <c r="Q63" s="25"/>
      <c r="R63" s="25"/>
      <c r="S63" s="25"/>
      <c r="T63" s="36"/>
      <c r="U63" s="53">
        <f t="shared" si="5"/>
        <v>28338</v>
      </c>
      <c r="V63" s="42"/>
      <c r="W63" s="42"/>
      <c r="X63" s="42"/>
      <c r="Y63" s="42"/>
      <c r="Z63" s="42"/>
    </row>
    <row r="64" ht="15.75" customHeight="1" spans="1:26" x14ac:dyDescent="0.25">
      <c r="A64" s="48"/>
      <c r="B64" s="25"/>
      <c r="C64" s="35">
        <v>198</v>
      </c>
      <c r="D64" s="25" t="s">
        <v>250</v>
      </c>
      <c r="E64" s="25" t="s">
        <v>252</v>
      </c>
      <c r="F64" s="35">
        <v>660</v>
      </c>
      <c r="G64" s="50"/>
      <c r="H64" s="25">
        <v>11</v>
      </c>
      <c r="I64" s="35">
        <v>60</v>
      </c>
      <c r="J64" s="35">
        <f t="shared" si="6"/>
        <v>660</v>
      </c>
      <c r="K64" s="25"/>
      <c r="L64" s="25"/>
      <c r="M64" s="25"/>
      <c r="N64" s="35"/>
      <c r="O64" s="25"/>
      <c r="P64" s="25"/>
      <c r="Q64" s="25"/>
      <c r="R64" s="25"/>
      <c r="S64" s="25"/>
      <c r="T64" s="36"/>
      <c r="U64" s="53">
        <f t="shared" si="5"/>
        <v>27678</v>
      </c>
      <c r="V64" s="42"/>
      <c r="W64" s="42"/>
      <c r="X64" s="42"/>
      <c r="Y64" s="42"/>
      <c r="Z64" s="42"/>
    </row>
    <row r="65" ht="15.75" customHeight="1" spans="1:26" x14ac:dyDescent="0.25">
      <c r="A65" s="48"/>
      <c r="B65" s="25"/>
      <c r="C65" s="35">
        <v>199</v>
      </c>
      <c r="D65" s="25" t="s">
        <v>250</v>
      </c>
      <c r="E65" s="25" t="s">
        <v>253</v>
      </c>
      <c r="F65" s="53">
        <v>1500</v>
      </c>
      <c r="G65" s="50"/>
      <c r="H65" s="25">
        <v>25</v>
      </c>
      <c r="I65" s="35">
        <v>60</v>
      </c>
      <c r="J65" s="35">
        <f t="shared" si="6"/>
        <v>1500</v>
      </c>
      <c r="K65" s="25"/>
      <c r="L65" s="25"/>
      <c r="M65" s="25"/>
      <c r="N65" s="25"/>
      <c r="O65" s="25"/>
      <c r="P65" s="25"/>
      <c r="Q65" s="35"/>
      <c r="R65" s="25"/>
      <c r="S65" s="25"/>
      <c r="T65" s="36"/>
      <c r="U65" s="53">
        <f t="shared" si="5"/>
        <v>26178</v>
      </c>
      <c r="V65" s="42"/>
      <c r="W65" s="42"/>
      <c r="X65" s="42"/>
      <c r="Y65" s="42"/>
      <c r="Z65" s="42"/>
    </row>
    <row r="66" ht="15.75" customHeight="1" spans="1:26" x14ac:dyDescent="0.25">
      <c r="A66" s="48"/>
      <c r="B66" s="25"/>
      <c r="C66" s="35">
        <v>200</v>
      </c>
      <c r="D66" s="25" t="s">
        <v>250</v>
      </c>
      <c r="E66" s="25" t="s">
        <v>254</v>
      </c>
      <c r="F66" s="53">
        <v>2280</v>
      </c>
      <c r="G66" s="50"/>
      <c r="H66" s="35">
        <v>38</v>
      </c>
      <c r="I66" s="35">
        <v>60</v>
      </c>
      <c r="J66" s="35">
        <f t="shared" si="6"/>
        <v>2280</v>
      </c>
      <c r="K66" s="25"/>
      <c r="L66" s="25"/>
      <c r="M66" s="25"/>
      <c r="N66" s="25"/>
      <c r="O66" s="25"/>
      <c r="P66" s="25"/>
      <c r="Q66" s="25"/>
      <c r="R66" s="25"/>
      <c r="S66" s="25"/>
      <c r="T66" s="36"/>
      <c r="U66" s="53">
        <f t="shared" si="5"/>
        <v>23898</v>
      </c>
      <c r="V66" s="42"/>
      <c r="W66" s="42"/>
      <c r="X66" s="42"/>
      <c r="Y66" s="42"/>
      <c r="Z66" s="42"/>
    </row>
    <row r="67" ht="15.75" customHeight="1" spans="1:26" x14ac:dyDescent="0.25">
      <c r="A67" s="48"/>
      <c r="B67" s="25"/>
      <c r="C67" s="35">
        <v>201</v>
      </c>
      <c r="D67" s="48" t="s">
        <v>255</v>
      </c>
      <c r="E67" s="25" t="s">
        <v>128</v>
      </c>
      <c r="F67" s="53">
        <v>14000</v>
      </c>
      <c r="G67" s="50"/>
      <c r="H67" s="35">
        <v>140</v>
      </c>
      <c r="I67" s="35">
        <v>60</v>
      </c>
      <c r="J67" s="35">
        <f t="shared" si="6"/>
        <v>8400</v>
      </c>
      <c r="K67" s="25"/>
      <c r="L67" s="25"/>
      <c r="M67" s="25"/>
      <c r="N67" s="25"/>
      <c r="O67" s="25"/>
      <c r="P67" s="25"/>
      <c r="Q67" s="25"/>
      <c r="R67" s="25"/>
      <c r="S67" s="25"/>
      <c r="T67" s="36"/>
      <c r="U67" s="53">
        <f t="shared" si="5"/>
        <v>9898</v>
      </c>
      <c r="V67" s="42"/>
      <c r="W67" s="42"/>
      <c r="X67" s="42"/>
      <c r="Y67" s="42"/>
      <c r="Z67" s="42"/>
    </row>
    <row r="68" ht="15.75" customHeight="1" spans="1:26" x14ac:dyDescent="0.25">
      <c r="A68" s="48"/>
      <c r="B68" s="25"/>
      <c r="C68" s="35">
        <v>202</v>
      </c>
      <c r="D68" s="25" t="s">
        <v>255</v>
      </c>
      <c r="E68" s="25" t="s">
        <v>121</v>
      </c>
      <c r="F68" s="53">
        <v>6900</v>
      </c>
      <c r="G68" s="50"/>
      <c r="H68" s="25">
        <v>69</v>
      </c>
      <c r="I68" s="25">
        <v>100</v>
      </c>
      <c r="J68" s="35">
        <f t="shared" si="6"/>
        <v>6900</v>
      </c>
      <c r="K68" s="25"/>
      <c r="L68" s="25"/>
      <c r="M68" s="25"/>
      <c r="N68" s="25"/>
      <c r="O68" s="25"/>
      <c r="P68" s="25"/>
      <c r="Q68" s="25"/>
      <c r="R68" s="25"/>
      <c r="S68" s="25"/>
      <c r="T68" s="36"/>
      <c r="U68" s="53">
        <f t="shared" si="5"/>
        <v>2998</v>
      </c>
      <c r="V68" s="42"/>
      <c r="W68" s="42"/>
      <c r="X68" s="42"/>
      <c r="Y68" s="42"/>
      <c r="Z68" s="42"/>
    </row>
    <row r="69" ht="15.75" customHeight="1" spans="1:26" x14ac:dyDescent="0.25">
      <c r="A69" s="48"/>
      <c r="B69" s="25" t="s">
        <v>256</v>
      </c>
      <c r="C69" s="35">
        <v>203</v>
      </c>
      <c r="D69" s="25" t="s">
        <v>255</v>
      </c>
      <c r="E69" s="25" t="s">
        <v>254</v>
      </c>
      <c r="F69" s="53">
        <v>2100</v>
      </c>
      <c r="G69" s="50"/>
      <c r="H69" s="25">
        <v>21</v>
      </c>
      <c r="I69" s="25">
        <v>100</v>
      </c>
      <c r="J69" s="25">
        <v>2100</v>
      </c>
      <c r="K69" s="25"/>
      <c r="L69" s="25"/>
      <c r="M69" s="25"/>
      <c r="N69" s="25"/>
      <c r="O69" s="25"/>
      <c r="P69" s="35"/>
      <c r="Q69" s="25"/>
      <c r="R69" s="25"/>
      <c r="S69" s="25"/>
      <c r="T69" s="36"/>
      <c r="U69" s="53">
        <f t="shared" si="5"/>
        <v>898</v>
      </c>
      <c r="V69" s="42"/>
      <c r="W69" s="42"/>
      <c r="X69" s="42"/>
      <c r="Y69" s="42"/>
      <c r="Z69" s="42"/>
    </row>
    <row r="70" ht="15.75" customHeight="1" spans="1:26" x14ac:dyDescent="0.25">
      <c r="A70" s="48"/>
      <c r="B70" s="25"/>
      <c r="C70" s="35"/>
      <c r="D70" s="25" t="s">
        <v>246</v>
      </c>
      <c r="E70" s="25"/>
      <c r="F70" s="35"/>
      <c r="G70" s="50">
        <v>60000</v>
      </c>
      <c r="H70" s="25"/>
      <c r="I70" s="25"/>
      <c r="J70" s="25"/>
      <c r="K70" s="25"/>
      <c r="L70" s="25"/>
      <c r="M70" s="25"/>
      <c r="N70" s="25"/>
      <c r="O70" s="25"/>
      <c r="P70" s="35"/>
      <c r="Q70" s="25"/>
      <c r="R70" s="25"/>
      <c r="S70" s="25"/>
      <c r="T70" s="36"/>
      <c r="U70" s="53">
        <f>U69-F70+60000</f>
        <v>60898</v>
      </c>
      <c r="V70" s="42"/>
      <c r="W70" s="42"/>
      <c r="X70" s="42"/>
      <c r="Y70" s="42"/>
      <c r="Z70" s="42"/>
    </row>
    <row r="71" ht="15.75" customHeight="1" spans="1:26" x14ac:dyDescent="0.25">
      <c r="A71" s="48"/>
      <c r="B71" s="25"/>
      <c r="C71" s="35">
        <v>204</v>
      </c>
      <c r="D71" s="25" t="s">
        <v>13</v>
      </c>
      <c r="E71" s="25" t="s">
        <v>243</v>
      </c>
      <c r="F71" s="53">
        <v>9000</v>
      </c>
      <c r="G71" s="50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35">
        <v>9000</v>
      </c>
      <c r="S71" s="25"/>
      <c r="T71" s="36"/>
      <c r="U71" s="53">
        <f t="shared" ref="U71:U91" si="7">U70-F71</f>
        <v>51898</v>
      </c>
      <c r="V71" s="42"/>
      <c r="W71" s="42"/>
      <c r="X71" s="42"/>
      <c r="Y71" s="42"/>
      <c r="Z71" s="42"/>
    </row>
    <row r="72" ht="15.75" customHeight="1" spans="1:26" x14ac:dyDescent="0.25">
      <c r="A72" s="48"/>
      <c r="B72" s="25"/>
      <c r="C72" s="35">
        <v>205</v>
      </c>
      <c r="D72" s="25" t="s">
        <v>36</v>
      </c>
      <c r="E72" s="25" t="s">
        <v>257</v>
      </c>
      <c r="F72" s="35">
        <v>380</v>
      </c>
      <c r="G72" s="50"/>
      <c r="H72" s="25"/>
      <c r="I72" s="25"/>
      <c r="J72" s="25"/>
      <c r="K72" s="25"/>
      <c r="L72" s="25"/>
      <c r="M72" s="25"/>
      <c r="N72" s="25"/>
      <c r="O72" s="25"/>
      <c r="P72" s="25"/>
      <c r="Q72" s="35">
        <v>300</v>
      </c>
      <c r="R72" s="25"/>
      <c r="S72" s="25"/>
      <c r="T72" s="36"/>
      <c r="U72" s="53">
        <f t="shared" si="7"/>
        <v>51518</v>
      </c>
      <c r="V72" s="42"/>
      <c r="W72" s="42"/>
      <c r="X72" s="42"/>
      <c r="Y72" s="42"/>
      <c r="Z72" s="42"/>
    </row>
    <row r="73" ht="15.75" customHeight="1" spans="1:26" x14ac:dyDescent="0.25">
      <c r="A73" s="48"/>
      <c r="B73" s="25"/>
      <c r="C73" s="35">
        <v>206</v>
      </c>
      <c r="D73" s="25" t="s">
        <v>211</v>
      </c>
      <c r="E73" s="25" t="s">
        <v>119</v>
      </c>
      <c r="F73" s="53">
        <v>2000</v>
      </c>
      <c r="G73" s="50"/>
      <c r="H73" s="35"/>
      <c r="I73" s="35"/>
      <c r="J73" s="35"/>
      <c r="K73" s="25"/>
      <c r="L73" s="25"/>
      <c r="M73" s="25"/>
      <c r="N73" s="25"/>
      <c r="O73" s="25"/>
      <c r="P73" s="25"/>
      <c r="Q73" s="25"/>
      <c r="R73" s="25"/>
      <c r="S73" s="25"/>
      <c r="T73" s="36"/>
      <c r="U73" s="53">
        <f t="shared" si="7"/>
        <v>49518</v>
      </c>
      <c r="V73" s="42"/>
      <c r="W73" s="42"/>
      <c r="X73" s="42"/>
      <c r="Y73" s="42"/>
      <c r="Z73" s="42"/>
    </row>
    <row r="74" ht="15.75" customHeight="1" spans="1:26" x14ac:dyDescent="0.25">
      <c r="A74" s="48"/>
      <c r="B74" s="25"/>
      <c r="C74" s="35">
        <v>207</v>
      </c>
      <c r="D74" s="25" t="s">
        <v>250</v>
      </c>
      <c r="E74" s="25" t="s">
        <v>258</v>
      </c>
      <c r="F74" s="53">
        <v>2760</v>
      </c>
      <c r="G74" s="50"/>
      <c r="H74" s="35">
        <v>46</v>
      </c>
      <c r="I74" s="35">
        <v>60</v>
      </c>
      <c r="J74" s="35">
        <f t="shared" ref="J74:J75" si="8">H74*I74</f>
        <v>2760</v>
      </c>
      <c r="K74" s="25"/>
      <c r="L74" s="25"/>
      <c r="M74" s="25"/>
      <c r="N74" s="25"/>
      <c r="O74" s="25"/>
      <c r="P74" s="25"/>
      <c r="Q74" s="25"/>
      <c r="R74" s="25"/>
      <c r="S74" s="25"/>
      <c r="T74" s="36"/>
      <c r="U74" s="53">
        <f t="shared" si="7"/>
        <v>46758</v>
      </c>
      <c r="V74" s="42"/>
      <c r="W74" s="42"/>
      <c r="X74" s="42"/>
      <c r="Y74" s="42"/>
      <c r="Z74" s="42"/>
    </row>
    <row r="75" ht="15.75" customHeight="1" spans="1:26" x14ac:dyDescent="0.25">
      <c r="A75" s="48"/>
      <c r="B75" s="25"/>
      <c r="C75" s="35">
        <v>208</v>
      </c>
      <c r="D75" s="25" t="s">
        <v>250</v>
      </c>
      <c r="E75" s="25" t="s">
        <v>54</v>
      </c>
      <c r="F75" s="53">
        <v>2520</v>
      </c>
      <c r="G75" s="50"/>
      <c r="H75" s="35">
        <v>42</v>
      </c>
      <c r="I75" s="35">
        <v>60</v>
      </c>
      <c r="J75" s="35">
        <f t="shared" si="8"/>
        <v>2520</v>
      </c>
      <c r="K75" s="25"/>
      <c r="L75" s="25"/>
      <c r="M75" s="25"/>
      <c r="N75" s="25"/>
      <c r="O75" s="25"/>
      <c r="P75" s="25"/>
      <c r="Q75" s="25"/>
      <c r="R75" s="25"/>
      <c r="S75" s="25"/>
      <c r="T75" s="36"/>
      <c r="U75" s="53">
        <f t="shared" si="7"/>
        <v>44238</v>
      </c>
      <c r="V75" s="42"/>
      <c r="W75" s="42"/>
      <c r="X75" s="42"/>
      <c r="Y75" s="42"/>
      <c r="Z75" s="42"/>
    </row>
    <row r="76" ht="15.75" customHeight="1" spans="1:26" x14ac:dyDescent="0.25">
      <c r="A76" s="48"/>
      <c r="B76" s="25" t="s">
        <v>259</v>
      </c>
      <c r="C76" s="35"/>
      <c r="D76" s="25" t="s">
        <v>260</v>
      </c>
      <c r="E76" s="25" t="s">
        <v>261</v>
      </c>
      <c r="F76" s="35">
        <v>550</v>
      </c>
      <c r="G76" s="50"/>
      <c r="H76" s="35"/>
      <c r="I76" s="35"/>
      <c r="J76" s="35"/>
      <c r="K76" s="25"/>
      <c r="L76" s="25"/>
      <c r="M76" s="25"/>
      <c r="N76" s="25"/>
      <c r="O76" s="25"/>
      <c r="P76" s="25"/>
      <c r="Q76" s="25">
        <v>550</v>
      </c>
      <c r="R76" s="25"/>
      <c r="S76" s="25"/>
      <c r="T76" s="36"/>
      <c r="U76" s="53">
        <f t="shared" si="7"/>
        <v>43688</v>
      </c>
      <c r="V76" s="42"/>
      <c r="W76" s="42"/>
      <c r="X76" s="42"/>
      <c r="Y76" s="42"/>
      <c r="Z76" s="42"/>
    </row>
    <row r="77" ht="15.75" customHeight="1" spans="1:26" x14ac:dyDescent="0.25">
      <c r="A77" s="48"/>
      <c r="B77" s="25"/>
      <c r="C77" s="35"/>
      <c r="D77" s="25" t="s">
        <v>41</v>
      </c>
      <c r="E77" s="25" t="s">
        <v>128</v>
      </c>
      <c r="F77" s="53">
        <v>3700</v>
      </c>
      <c r="G77" s="50"/>
      <c r="H77" s="35">
        <v>37</v>
      </c>
      <c r="I77" s="35">
        <v>100</v>
      </c>
      <c r="J77" s="35">
        <v>3700</v>
      </c>
      <c r="K77" s="25"/>
      <c r="L77" s="25"/>
      <c r="M77" s="25"/>
      <c r="N77" s="25"/>
      <c r="O77" s="25"/>
      <c r="P77" s="25"/>
      <c r="Q77" s="25"/>
      <c r="R77" s="25"/>
      <c r="S77" s="25"/>
      <c r="T77" s="36"/>
      <c r="U77" s="53">
        <f t="shared" si="7"/>
        <v>39988</v>
      </c>
      <c r="V77" s="42"/>
      <c r="W77" s="42"/>
      <c r="X77" s="42"/>
      <c r="Y77" s="42"/>
      <c r="Z77" s="42"/>
    </row>
    <row r="78" ht="15.75" customHeight="1" spans="1:26" x14ac:dyDescent="0.25">
      <c r="A78" s="48"/>
      <c r="B78" s="25"/>
      <c r="C78" s="35"/>
      <c r="D78" s="25" t="s">
        <v>41</v>
      </c>
      <c r="E78" s="25" t="s">
        <v>60</v>
      </c>
      <c r="F78" s="53">
        <v>3300</v>
      </c>
      <c r="G78" s="50"/>
      <c r="H78" s="35">
        <v>33</v>
      </c>
      <c r="I78" s="35">
        <v>100</v>
      </c>
      <c r="J78" s="35">
        <v>3300</v>
      </c>
      <c r="K78" s="25"/>
      <c r="L78" s="25"/>
      <c r="M78" s="25"/>
      <c r="N78" s="25"/>
      <c r="O78" s="25"/>
      <c r="P78" s="25"/>
      <c r="Q78" s="25"/>
      <c r="R78" s="25"/>
      <c r="S78" s="25"/>
      <c r="T78" s="36"/>
      <c r="U78" s="53">
        <f t="shared" si="7"/>
        <v>36688</v>
      </c>
      <c r="V78" s="42"/>
      <c r="W78" s="42"/>
      <c r="X78" s="42"/>
      <c r="Y78" s="42"/>
      <c r="Z78" s="42"/>
    </row>
    <row r="79" ht="15.75" customHeight="1" spans="1:26" x14ac:dyDescent="0.25">
      <c r="A79" s="48"/>
      <c r="B79" s="25"/>
      <c r="C79" s="35"/>
      <c r="D79" s="25" t="s">
        <v>250</v>
      </c>
      <c r="E79" s="25" t="s">
        <v>52</v>
      </c>
      <c r="F79" s="53">
        <v>1740</v>
      </c>
      <c r="G79" s="50"/>
      <c r="H79" s="25">
        <v>29</v>
      </c>
      <c r="I79" s="25">
        <v>60</v>
      </c>
      <c r="J79" s="25">
        <f>H79*I79</f>
        <v>1740</v>
      </c>
      <c r="K79" s="25"/>
      <c r="L79" s="25"/>
      <c r="M79" s="25"/>
      <c r="N79" s="25"/>
      <c r="O79" s="25"/>
      <c r="P79" s="25"/>
      <c r="Q79" s="25"/>
      <c r="R79" s="25"/>
      <c r="S79" s="25"/>
      <c r="T79" s="36"/>
      <c r="U79" s="53">
        <f t="shared" si="7"/>
        <v>34948</v>
      </c>
      <c r="V79" s="42"/>
      <c r="W79" s="42"/>
      <c r="X79" s="42"/>
      <c r="Y79" s="42"/>
      <c r="Z79" s="42"/>
    </row>
    <row r="80" ht="15.75" customHeight="1" spans="1:26" x14ac:dyDescent="0.25">
      <c r="A80" s="48"/>
      <c r="B80" s="25" t="s">
        <v>262</v>
      </c>
      <c r="C80" s="35"/>
      <c r="D80" s="25" t="s">
        <v>255</v>
      </c>
      <c r="E80" s="25" t="s">
        <v>263</v>
      </c>
      <c r="F80" s="53">
        <v>4400</v>
      </c>
      <c r="G80" s="50"/>
      <c r="H80" s="25">
        <v>44</v>
      </c>
      <c r="I80" s="25">
        <v>100</v>
      </c>
      <c r="J80" s="25">
        <v>4400</v>
      </c>
      <c r="K80" s="25"/>
      <c r="L80" s="35"/>
      <c r="M80" s="25"/>
      <c r="N80" s="25"/>
      <c r="O80" s="25"/>
      <c r="P80" s="25"/>
      <c r="Q80" s="25"/>
      <c r="R80" s="25"/>
      <c r="S80" s="25"/>
      <c r="T80" s="36"/>
      <c r="U80" s="53">
        <f t="shared" si="7"/>
        <v>30548</v>
      </c>
      <c r="V80" s="42"/>
      <c r="W80" s="42"/>
      <c r="X80" s="42"/>
      <c r="Y80" s="42"/>
      <c r="Z80" s="42"/>
    </row>
    <row r="81" ht="15.75" customHeight="1" spans="1:26" x14ac:dyDescent="0.25">
      <c r="A81" s="48"/>
      <c r="B81" s="25"/>
      <c r="C81" s="35"/>
      <c r="D81" s="25" t="s">
        <v>255</v>
      </c>
      <c r="E81" s="25" t="s">
        <v>60</v>
      </c>
      <c r="F81" s="53">
        <v>2900</v>
      </c>
      <c r="G81" s="50"/>
      <c r="H81" s="35">
        <v>29</v>
      </c>
      <c r="I81" s="35">
        <v>100</v>
      </c>
      <c r="J81" s="35">
        <v>2900</v>
      </c>
      <c r="K81" s="25"/>
      <c r="L81" s="25"/>
      <c r="M81" s="25"/>
      <c r="N81" s="25"/>
      <c r="O81" s="25"/>
      <c r="P81" s="25"/>
      <c r="Q81" s="25"/>
      <c r="R81" s="25"/>
      <c r="S81" s="25"/>
      <c r="T81" s="36"/>
      <c r="U81" s="53">
        <f t="shared" si="7"/>
        <v>27648</v>
      </c>
      <c r="V81" s="42"/>
      <c r="W81" s="42"/>
      <c r="X81" s="42"/>
      <c r="Y81" s="42"/>
      <c r="Z81" s="42"/>
    </row>
    <row r="82" ht="15.75" customHeight="1" spans="1:26" x14ac:dyDescent="0.25">
      <c r="A82" s="48"/>
      <c r="B82" s="25"/>
      <c r="C82" s="35"/>
      <c r="D82" s="25" t="s">
        <v>255</v>
      </c>
      <c r="E82" s="25" t="s">
        <v>54</v>
      </c>
      <c r="F82" s="53">
        <v>6200</v>
      </c>
      <c r="G82" s="50"/>
      <c r="H82" s="35">
        <v>62</v>
      </c>
      <c r="I82" s="35">
        <v>100</v>
      </c>
      <c r="J82" s="35">
        <v>6200</v>
      </c>
      <c r="K82" s="25"/>
      <c r="L82" s="25"/>
      <c r="M82" s="25"/>
      <c r="N82" s="25"/>
      <c r="O82" s="25"/>
      <c r="P82" s="25"/>
      <c r="Q82" s="25"/>
      <c r="R82" s="25"/>
      <c r="S82" s="25"/>
      <c r="T82" s="36"/>
      <c r="U82" s="53">
        <f t="shared" si="7"/>
        <v>21448</v>
      </c>
      <c r="V82" s="42"/>
      <c r="W82" s="42"/>
      <c r="X82" s="42"/>
      <c r="Y82" s="42"/>
      <c r="Z82" s="42"/>
    </row>
    <row r="83" ht="15.75" customHeight="1" spans="1:26" x14ac:dyDescent="0.25">
      <c r="A83" s="48"/>
      <c r="B83" s="25"/>
      <c r="C83" s="25"/>
      <c r="D83" s="25" t="s">
        <v>250</v>
      </c>
      <c r="E83" s="25" t="s">
        <v>54</v>
      </c>
      <c r="F83" s="35">
        <v>240</v>
      </c>
      <c r="G83" s="50"/>
      <c r="H83" s="35">
        <v>4</v>
      </c>
      <c r="I83" s="35">
        <v>60</v>
      </c>
      <c r="J83" s="35">
        <v>240</v>
      </c>
      <c r="K83" s="25"/>
      <c r="L83" s="25"/>
      <c r="M83" s="25"/>
      <c r="N83" s="25"/>
      <c r="O83" s="25"/>
      <c r="P83" s="25"/>
      <c r="Q83" s="25"/>
      <c r="R83" s="25"/>
      <c r="S83" s="25"/>
      <c r="T83" s="36"/>
      <c r="U83" s="53">
        <f t="shared" si="7"/>
        <v>21208</v>
      </c>
      <c r="V83" s="42"/>
      <c r="W83" s="42"/>
      <c r="X83" s="42"/>
      <c r="Y83" s="42"/>
      <c r="Z83" s="42"/>
    </row>
    <row r="84" ht="15.75" customHeight="1" spans="1:26" x14ac:dyDescent="0.25">
      <c r="A84" s="48"/>
      <c r="B84" s="25"/>
      <c r="C84" s="35"/>
      <c r="D84" s="25" t="s">
        <v>264</v>
      </c>
      <c r="E84" s="25" t="s">
        <v>265</v>
      </c>
      <c r="F84" s="53">
        <v>3000</v>
      </c>
      <c r="G84" s="50"/>
      <c r="H84" s="25"/>
      <c r="I84" s="25"/>
      <c r="J84" s="25"/>
      <c r="K84" s="25"/>
      <c r="L84" s="25"/>
      <c r="M84" s="25"/>
      <c r="N84" s="25"/>
      <c r="O84" s="25">
        <v>3000</v>
      </c>
      <c r="P84" s="25"/>
      <c r="Q84" s="35"/>
      <c r="R84" s="25"/>
      <c r="S84" s="25"/>
      <c r="T84" s="36"/>
      <c r="U84" s="53">
        <f t="shared" si="7"/>
        <v>18208</v>
      </c>
      <c r="V84" s="42"/>
      <c r="W84" s="42"/>
      <c r="X84" s="42"/>
      <c r="Y84" s="42"/>
      <c r="Z84" s="42"/>
    </row>
    <row r="85" ht="15.75" customHeight="1" spans="1:26" x14ac:dyDescent="0.25">
      <c r="A85" s="48"/>
      <c r="B85" s="25" t="s">
        <v>266</v>
      </c>
      <c r="C85" s="35">
        <v>218</v>
      </c>
      <c r="D85" s="25" t="s">
        <v>267</v>
      </c>
      <c r="E85" s="25" t="s">
        <v>268</v>
      </c>
      <c r="F85" s="53">
        <v>2500</v>
      </c>
      <c r="G85" s="50"/>
      <c r="H85" s="25"/>
      <c r="I85" s="25"/>
      <c r="J85" s="25"/>
      <c r="K85" s="25"/>
      <c r="L85" s="25"/>
      <c r="M85" s="25"/>
      <c r="N85" s="25"/>
      <c r="O85" s="25">
        <v>2500</v>
      </c>
      <c r="P85" s="25"/>
      <c r="Q85" s="25"/>
      <c r="R85" s="35"/>
      <c r="S85" s="25"/>
      <c r="T85" s="36"/>
      <c r="U85" s="53">
        <f t="shared" si="7"/>
        <v>15708</v>
      </c>
      <c r="V85" s="42"/>
      <c r="W85" s="42"/>
      <c r="X85" s="42"/>
      <c r="Y85" s="42"/>
      <c r="Z85" s="42"/>
    </row>
    <row r="86" ht="15.75" customHeight="1" spans="1:26" x14ac:dyDescent="0.25">
      <c r="A86" s="48"/>
      <c r="B86" s="25"/>
      <c r="C86" s="35">
        <v>219</v>
      </c>
      <c r="D86" s="25" t="s">
        <v>269</v>
      </c>
      <c r="E86" s="25" t="s">
        <v>270</v>
      </c>
      <c r="F86" s="53">
        <v>2480</v>
      </c>
      <c r="G86" s="50"/>
      <c r="H86" s="25"/>
      <c r="I86" s="25"/>
      <c r="J86" s="25"/>
      <c r="K86" s="25"/>
      <c r="L86" s="25"/>
      <c r="M86" s="25"/>
      <c r="N86" s="25"/>
      <c r="O86" s="25">
        <v>2480</v>
      </c>
      <c r="P86" s="25"/>
      <c r="Q86" s="35"/>
      <c r="R86" s="25"/>
      <c r="S86" s="25"/>
      <c r="T86" s="36"/>
      <c r="U86" s="53">
        <f t="shared" si="7"/>
        <v>13228</v>
      </c>
      <c r="V86" s="42"/>
      <c r="W86" s="42"/>
      <c r="X86" s="42"/>
      <c r="Y86" s="42"/>
      <c r="Z86" s="42"/>
    </row>
    <row r="87" ht="15.75" customHeight="1" spans="1:26" x14ac:dyDescent="0.25">
      <c r="A87" s="48"/>
      <c r="B87" s="25"/>
      <c r="C87" s="35">
        <v>220</v>
      </c>
      <c r="D87" s="25" t="s">
        <v>271</v>
      </c>
      <c r="E87" s="25" t="s">
        <v>272</v>
      </c>
      <c r="F87" s="53">
        <v>1550</v>
      </c>
      <c r="G87" s="50"/>
      <c r="H87" s="25"/>
      <c r="I87" s="25"/>
      <c r="J87" s="25"/>
      <c r="K87" s="25"/>
      <c r="L87" s="25"/>
      <c r="M87" s="25"/>
      <c r="N87" s="25"/>
      <c r="O87" s="25"/>
      <c r="P87" s="25"/>
      <c r="Q87" s="35"/>
      <c r="R87" s="25"/>
      <c r="S87" s="25"/>
      <c r="T87" s="36"/>
      <c r="U87" s="53">
        <f t="shared" si="7"/>
        <v>11678</v>
      </c>
      <c r="V87" s="42"/>
      <c r="W87" s="42"/>
      <c r="X87" s="42"/>
      <c r="Y87" s="42"/>
      <c r="Z87" s="42"/>
    </row>
    <row r="88" ht="15.75" customHeight="1" spans="1:26" x14ac:dyDescent="0.25">
      <c r="A88" s="48"/>
      <c r="B88" s="25"/>
      <c r="C88" s="35">
        <v>221</v>
      </c>
      <c r="D88" s="25" t="s">
        <v>273</v>
      </c>
      <c r="E88" s="25" t="s">
        <v>119</v>
      </c>
      <c r="F88" s="35">
        <v>500</v>
      </c>
      <c r="G88" s="50"/>
      <c r="H88" s="25"/>
      <c r="I88" s="25"/>
      <c r="J88" s="25"/>
      <c r="K88" s="25"/>
      <c r="L88" s="25"/>
      <c r="M88" s="25"/>
      <c r="N88" s="25"/>
      <c r="O88" s="25"/>
      <c r="P88" s="25"/>
      <c r="Q88" s="35"/>
      <c r="R88" s="25"/>
      <c r="S88" s="25"/>
      <c r="T88" s="36"/>
      <c r="U88" s="53">
        <f t="shared" si="7"/>
        <v>11178</v>
      </c>
      <c r="V88" s="42"/>
      <c r="W88" s="42"/>
      <c r="X88" s="42"/>
      <c r="Y88" s="42"/>
      <c r="Z88" s="42"/>
    </row>
    <row r="89" ht="15.75" customHeight="1" spans="1:26" x14ac:dyDescent="0.25">
      <c r="A89" s="48"/>
      <c r="B89" s="25"/>
      <c r="C89" s="35">
        <v>222</v>
      </c>
      <c r="D89" s="25" t="s">
        <v>250</v>
      </c>
      <c r="E89" s="25" t="s">
        <v>69</v>
      </c>
      <c r="F89" s="53">
        <v>1080</v>
      </c>
      <c r="G89" s="50"/>
      <c r="H89" s="25">
        <v>18</v>
      </c>
      <c r="I89" s="25">
        <v>60</v>
      </c>
      <c r="J89" s="25">
        <v>1080</v>
      </c>
      <c r="K89" s="25"/>
      <c r="L89" s="25"/>
      <c r="M89" s="25"/>
      <c r="N89" s="25"/>
      <c r="O89" s="25"/>
      <c r="P89" s="25"/>
      <c r="Q89" s="25"/>
      <c r="R89" s="25"/>
      <c r="S89" s="25"/>
      <c r="T89" s="36"/>
      <c r="U89" s="53">
        <f t="shared" si="7"/>
        <v>10098</v>
      </c>
      <c r="V89" s="42"/>
      <c r="W89" s="42"/>
      <c r="X89" s="42"/>
      <c r="Y89" s="42"/>
      <c r="Z89" s="42"/>
    </row>
    <row r="90" ht="15.75" customHeight="1" spans="1:26" x14ac:dyDescent="0.25">
      <c r="A90" s="48"/>
      <c r="B90" s="25"/>
      <c r="C90" s="35">
        <v>223</v>
      </c>
      <c r="D90" s="25" t="s">
        <v>41</v>
      </c>
      <c r="E90" s="25" t="s">
        <v>54</v>
      </c>
      <c r="F90" s="53">
        <v>6500</v>
      </c>
      <c r="G90" s="50"/>
      <c r="H90" s="35">
        <v>5</v>
      </c>
      <c r="I90" s="35">
        <v>100</v>
      </c>
      <c r="J90" s="35">
        <v>6500</v>
      </c>
      <c r="K90" s="25"/>
      <c r="L90" s="25"/>
      <c r="M90" s="25"/>
      <c r="N90" s="25"/>
      <c r="O90" s="25"/>
      <c r="P90" s="25"/>
      <c r="Q90" s="25"/>
      <c r="R90" s="25"/>
      <c r="S90" s="25"/>
      <c r="T90" s="36"/>
      <c r="U90" s="53">
        <f t="shared" si="7"/>
        <v>3598</v>
      </c>
      <c r="V90" s="42"/>
      <c r="W90" s="42"/>
      <c r="X90" s="42"/>
      <c r="Y90" s="42"/>
      <c r="Z90" s="42"/>
    </row>
    <row r="91" ht="15.75" customHeight="1" spans="1:26" x14ac:dyDescent="0.25">
      <c r="A91" s="48"/>
      <c r="B91" s="25"/>
      <c r="C91" s="35">
        <v>224</v>
      </c>
      <c r="D91" s="25" t="s">
        <v>41</v>
      </c>
      <c r="E91" s="25" t="s">
        <v>200</v>
      </c>
      <c r="F91" s="53">
        <v>18600</v>
      </c>
      <c r="G91" s="50"/>
      <c r="H91" s="35">
        <v>186</v>
      </c>
      <c r="I91" s="35">
        <v>100</v>
      </c>
      <c r="J91" s="35">
        <v>18600</v>
      </c>
      <c r="K91" s="25"/>
      <c r="L91" s="25"/>
      <c r="M91" s="25"/>
      <c r="N91" s="25"/>
      <c r="O91" s="25"/>
      <c r="P91" s="25"/>
      <c r="Q91" s="25"/>
      <c r="R91" s="25"/>
      <c r="S91" s="25"/>
      <c r="T91" s="36"/>
      <c r="U91" s="53">
        <f t="shared" si="7"/>
        <v>-15002</v>
      </c>
      <c r="V91" s="42"/>
      <c r="W91" s="42"/>
      <c r="X91" s="42"/>
      <c r="Y91" s="42"/>
      <c r="Z91" s="42"/>
    </row>
    <row r="92" ht="15.75" customHeight="1" spans="1:26" x14ac:dyDescent="0.25">
      <c r="A92" s="48"/>
      <c r="B92" s="25"/>
      <c r="C92" s="35"/>
      <c r="D92" s="25" t="s">
        <v>274</v>
      </c>
      <c r="E92" s="25"/>
      <c r="F92" s="35"/>
      <c r="G92" s="50">
        <v>60000</v>
      </c>
      <c r="H92" s="35"/>
      <c r="I92" s="35"/>
      <c r="J92" s="35"/>
      <c r="K92" s="25"/>
      <c r="L92" s="25"/>
      <c r="M92" s="25"/>
      <c r="N92" s="25"/>
      <c r="O92" s="25"/>
      <c r="P92" s="25"/>
      <c r="Q92" s="25"/>
      <c r="R92" s="25"/>
      <c r="S92" s="25"/>
      <c r="T92" s="36"/>
      <c r="U92" s="53">
        <f>U91-F92+60000</f>
        <v>44998</v>
      </c>
      <c r="V92" s="42"/>
      <c r="W92" s="42"/>
      <c r="X92" s="42"/>
      <c r="Y92" s="42"/>
      <c r="Z92" s="42"/>
    </row>
    <row r="93" ht="15.75" customHeight="1" spans="1:26" x14ac:dyDescent="0.25">
      <c r="A93" s="42"/>
      <c r="B93" s="25" t="s">
        <v>275</v>
      </c>
      <c r="C93" s="35">
        <v>225</v>
      </c>
      <c r="D93" s="25" t="s">
        <v>276</v>
      </c>
      <c r="E93" s="25"/>
      <c r="F93" s="53">
        <v>1785</v>
      </c>
      <c r="G93" s="50"/>
      <c r="H93" s="35"/>
      <c r="I93" s="35"/>
      <c r="J93" s="35"/>
      <c r="K93" s="25"/>
      <c r="L93" s="25"/>
      <c r="M93" s="25"/>
      <c r="N93" s="25"/>
      <c r="O93" s="25"/>
      <c r="P93" s="25"/>
      <c r="Q93" s="25">
        <v>1785</v>
      </c>
      <c r="R93" s="25"/>
      <c r="S93" s="25"/>
      <c r="T93" s="36"/>
      <c r="U93" s="53">
        <f t="shared" ref="U93:U107" si="9">U92-F93</f>
        <v>43213</v>
      </c>
      <c r="V93" s="42"/>
      <c r="W93" s="42"/>
      <c r="X93" s="42"/>
      <c r="Y93" s="42"/>
      <c r="Z93" s="42"/>
    </row>
    <row r="94" ht="15.75" customHeight="1" spans="1:26" x14ac:dyDescent="0.25">
      <c r="A94" s="42"/>
      <c r="B94" s="25"/>
      <c r="C94" s="35">
        <v>226</v>
      </c>
      <c r="D94" s="25" t="s">
        <v>250</v>
      </c>
      <c r="E94" s="25" t="s">
        <v>54</v>
      </c>
      <c r="F94" s="53">
        <v>1920</v>
      </c>
      <c r="G94" s="50"/>
      <c r="H94" s="35">
        <v>32</v>
      </c>
      <c r="I94" s="35">
        <v>60</v>
      </c>
      <c r="J94" s="35">
        <f>H94*I94</f>
        <v>1920</v>
      </c>
      <c r="K94" s="25"/>
      <c r="L94" s="25"/>
      <c r="M94" s="25"/>
      <c r="N94" s="25"/>
      <c r="O94" s="25"/>
      <c r="P94" s="25"/>
      <c r="Q94" s="25"/>
      <c r="R94" s="25"/>
      <c r="S94" s="25"/>
      <c r="T94" s="36"/>
      <c r="U94" s="53">
        <f t="shared" si="9"/>
        <v>41293</v>
      </c>
      <c r="V94" s="42"/>
      <c r="W94" s="42"/>
      <c r="X94" s="42"/>
      <c r="Y94" s="42"/>
      <c r="Z94" s="42"/>
    </row>
    <row r="95" ht="15.75" customHeight="1" spans="1:26" x14ac:dyDescent="0.25">
      <c r="A95" s="42"/>
      <c r="B95" s="25"/>
      <c r="C95" s="35">
        <v>227</v>
      </c>
      <c r="D95" s="25" t="s">
        <v>41</v>
      </c>
      <c r="E95" s="25" t="s">
        <v>54</v>
      </c>
      <c r="F95" s="53">
        <v>8600</v>
      </c>
      <c r="G95" s="50"/>
      <c r="H95" s="35">
        <v>86</v>
      </c>
      <c r="I95" s="35">
        <v>100</v>
      </c>
      <c r="J95" s="35">
        <v>8600</v>
      </c>
      <c r="K95" s="25"/>
      <c r="L95" s="25"/>
      <c r="M95" s="25"/>
      <c r="N95" s="25"/>
      <c r="O95" s="25"/>
      <c r="P95" s="25"/>
      <c r="Q95" s="25"/>
      <c r="R95" s="25"/>
      <c r="S95" s="25"/>
      <c r="T95" s="36"/>
      <c r="U95" s="53">
        <f t="shared" si="9"/>
        <v>32693</v>
      </c>
      <c r="V95" s="42"/>
      <c r="W95" s="42"/>
      <c r="X95" s="42"/>
      <c r="Y95" s="42"/>
      <c r="Z95" s="42"/>
    </row>
    <row r="96" ht="15.75" customHeight="1" spans="1:26" x14ac:dyDescent="0.25">
      <c r="A96" s="42"/>
      <c r="B96" s="25" t="s">
        <v>277</v>
      </c>
      <c r="C96" s="35">
        <v>228</v>
      </c>
      <c r="D96" s="25" t="s">
        <v>216</v>
      </c>
      <c r="E96" s="25" t="s">
        <v>119</v>
      </c>
      <c r="F96" s="35">
        <v>500</v>
      </c>
      <c r="G96" s="50"/>
      <c r="H96" s="35"/>
      <c r="I96" s="35"/>
      <c r="J96" s="35"/>
      <c r="K96" s="25"/>
      <c r="L96" s="25"/>
      <c r="M96" s="25"/>
      <c r="N96" s="25">
        <v>500</v>
      </c>
      <c r="O96" s="25"/>
      <c r="P96" s="25"/>
      <c r="Q96" s="25"/>
      <c r="R96" s="25"/>
      <c r="S96" s="25"/>
      <c r="T96" s="36"/>
      <c r="U96" s="53">
        <f t="shared" si="9"/>
        <v>32193</v>
      </c>
      <c r="V96" s="42"/>
      <c r="W96" s="42"/>
      <c r="X96" s="42"/>
      <c r="Y96" s="42"/>
      <c r="Z96" s="42"/>
    </row>
    <row r="97" ht="15.75" customHeight="1" spans="1:26" x14ac:dyDescent="0.25">
      <c r="A97" s="42"/>
      <c r="B97" s="25"/>
      <c r="C97" s="35">
        <v>229</v>
      </c>
      <c r="D97" s="25" t="s">
        <v>216</v>
      </c>
      <c r="E97" s="25" t="s">
        <v>119</v>
      </c>
      <c r="F97" s="35">
        <v>300</v>
      </c>
      <c r="G97" s="50"/>
      <c r="H97" s="25"/>
      <c r="I97" s="25"/>
      <c r="J97" s="25"/>
      <c r="K97" s="25"/>
      <c r="L97" s="25"/>
      <c r="M97" s="25"/>
      <c r="N97" s="25">
        <v>300</v>
      </c>
      <c r="O97" s="25"/>
      <c r="P97" s="25"/>
      <c r="Q97" s="25"/>
      <c r="R97" s="25"/>
      <c r="S97" s="25"/>
      <c r="T97" s="36"/>
      <c r="U97" s="53">
        <f t="shared" si="9"/>
        <v>31893</v>
      </c>
      <c r="V97" s="42"/>
      <c r="W97" s="42"/>
      <c r="X97" s="42"/>
      <c r="Y97" s="42"/>
      <c r="Z97" s="42"/>
    </row>
    <row r="98" ht="15.75" customHeight="1" spans="1:26" x14ac:dyDescent="0.25">
      <c r="A98" s="48"/>
      <c r="B98" s="25"/>
      <c r="C98" s="35">
        <v>230</v>
      </c>
      <c r="D98" s="25" t="s">
        <v>278</v>
      </c>
      <c r="E98" s="25" t="s">
        <v>279</v>
      </c>
      <c r="F98" s="35">
        <v>130</v>
      </c>
      <c r="G98" s="50"/>
      <c r="H98" s="25"/>
      <c r="I98" s="25"/>
      <c r="J98" s="25"/>
      <c r="K98" s="25"/>
      <c r="L98" s="35"/>
      <c r="M98" s="25"/>
      <c r="N98" s="25"/>
      <c r="O98" s="25"/>
      <c r="P98" s="25">
        <v>130</v>
      </c>
      <c r="Q98" s="25"/>
      <c r="R98" s="25"/>
      <c r="S98" s="25"/>
      <c r="T98" s="36"/>
      <c r="U98" s="53">
        <f t="shared" si="9"/>
        <v>31763</v>
      </c>
      <c r="V98" s="42"/>
      <c r="W98" s="42"/>
      <c r="X98" s="42"/>
      <c r="Y98" s="42"/>
      <c r="Z98" s="42"/>
    </row>
    <row r="99" ht="15.75" customHeight="1" spans="1:26" x14ac:dyDescent="0.25">
      <c r="A99" s="48"/>
      <c r="B99" s="25"/>
      <c r="C99" s="35">
        <v>231</v>
      </c>
      <c r="D99" s="25" t="s">
        <v>280</v>
      </c>
      <c r="E99" s="25" t="s">
        <v>234</v>
      </c>
      <c r="F99" s="35">
        <v>380</v>
      </c>
      <c r="G99" s="50"/>
      <c r="H99" s="35"/>
      <c r="I99" s="35"/>
      <c r="J99" s="35"/>
      <c r="K99" s="25"/>
      <c r="L99" s="25"/>
      <c r="M99" s="25"/>
      <c r="N99" s="25"/>
      <c r="O99" s="25">
        <v>380</v>
      </c>
      <c r="P99" s="25"/>
      <c r="Q99" s="25"/>
      <c r="R99" s="25"/>
      <c r="S99" s="25"/>
      <c r="T99" s="36"/>
      <c r="U99" s="53">
        <f t="shared" si="9"/>
        <v>31383</v>
      </c>
      <c r="V99" s="42"/>
      <c r="W99" s="42"/>
      <c r="X99" s="42"/>
      <c r="Y99" s="42"/>
      <c r="Z99" s="42"/>
    </row>
    <row r="100" ht="15.75" customHeight="1" spans="1:26" x14ac:dyDescent="0.25">
      <c r="A100" s="48"/>
      <c r="B100" s="25"/>
      <c r="C100" s="35">
        <v>232</v>
      </c>
      <c r="D100" s="25" t="s">
        <v>222</v>
      </c>
      <c r="E100" s="25" t="s">
        <v>281</v>
      </c>
      <c r="F100" s="35">
        <v>100</v>
      </c>
      <c r="G100" s="50"/>
      <c r="H100" s="35"/>
      <c r="I100" s="35"/>
      <c r="J100" s="35"/>
      <c r="K100" s="25"/>
      <c r="L100" s="25"/>
      <c r="M100" s="25"/>
      <c r="N100" s="25"/>
      <c r="O100" s="25"/>
      <c r="P100" s="25"/>
      <c r="Q100" s="25">
        <v>100</v>
      </c>
      <c r="R100" s="25"/>
      <c r="S100" s="25"/>
      <c r="T100" s="36"/>
      <c r="U100" s="53">
        <f t="shared" si="9"/>
        <v>31283</v>
      </c>
      <c r="V100" s="42"/>
      <c r="W100" s="42"/>
      <c r="X100" s="42"/>
      <c r="Y100" s="42"/>
      <c r="Z100" s="42"/>
    </row>
    <row r="101" ht="15.75" customHeight="1" spans="1:26" x14ac:dyDescent="0.25">
      <c r="A101" s="48"/>
      <c r="B101" s="25"/>
      <c r="C101" s="35">
        <v>233</v>
      </c>
      <c r="D101" s="25" t="s">
        <v>282</v>
      </c>
      <c r="E101" s="25" t="s">
        <v>283</v>
      </c>
      <c r="F101" s="53">
        <v>30000</v>
      </c>
      <c r="G101" s="50"/>
      <c r="H101" s="25"/>
      <c r="I101" s="25"/>
      <c r="J101" s="25"/>
      <c r="K101" s="25"/>
      <c r="L101" s="25">
        <v>30000</v>
      </c>
      <c r="M101" s="25"/>
      <c r="N101" s="25"/>
      <c r="O101" s="25"/>
      <c r="P101" s="25"/>
      <c r="Q101" s="25"/>
      <c r="R101" s="35"/>
      <c r="S101" s="25"/>
      <c r="T101" s="36"/>
      <c r="U101" s="53">
        <f t="shared" si="9"/>
        <v>1283</v>
      </c>
      <c r="V101" s="42"/>
      <c r="W101" s="42"/>
      <c r="X101" s="42"/>
      <c r="Y101" s="42"/>
      <c r="Z101" s="42"/>
    </row>
    <row r="102" ht="15.75" customHeight="1" spans="1:26" x14ac:dyDescent="0.25">
      <c r="A102" s="48"/>
      <c r="B102" s="25"/>
      <c r="C102" s="35">
        <v>234</v>
      </c>
      <c r="D102" s="25" t="s">
        <v>284</v>
      </c>
      <c r="E102" s="25" t="s">
        <v>285</v>
      </c>
      <c r="F102" s="35">
        <v>390</v>
      </c>
      <c r="G102" s="50"/>
      <c r="H102" s="25"/>
      <c r="I102" s="25"/>
      <c r="J102" s="25"/>
      <c r="K102" s="25"/>
      <c r="L102" s="25"/>
      <c r="M102" s="25"/>
      <c r="N102" s="25"/>
      <c r="O102" s="25"/>
      <c r="P102" s="25"/>
      <c r="Q102" s="25">
        <v>390</v>
      </c>
      <c r="R102" s="25"/>
      <c r="S102" s="25"/>
      <c r="T102" s="36"/>
      <c r="U102" s="53">
        <f t="shared" si="9"/>
        <v>893</v>
      </c>
      <c r="V102" s="42"/>
      <c r="W102" s="42"/>
      <c r="X102" s="42"/>
      <c r="Y102" s="42"/>
      <c r="Z102" s="42"/>
    </row>
    <row r="103" ht="15.75" customHeight="1" spans="1:26" x14ac:dyDescent="0.25">
      <c r="A103" s="48"/>
      <c r="B103" s="25"/>
      <c r="C103" s="35">
        <v>235</v>
      </c>
      <c r="D103" s="25" t="s">
        <v>286</v>
      </c>
      <c r="E103" s="25"/>
      <c r="F103" s="35">
        <v>470</v>
      </c>
      <c r="G103" s="50"/>
      <c r="H103" s="25"/>
      <c r="I103" s="25"/>
      <c r="J103" s="25"/>
      <c r="K103" s="25"/>
      <c r="L103" s="25"/>
      <c r="M103" s="25"/>
      <c r="N103" s="25"/>
      <c r="O103" s="25"/>
      <c r="P103" s="25"/>
      <c r="Q103" s="25">
        <v>450</v>
      </c>
      <c r="R103" s="25"/>
      <c r="S103" s="25"/>
      <c r="T103" s="36"/>
      <c r="U103" s="53">
        <f t="shared" si="9"/>
        <v>423</v>
      </c>
      <c r="V103" s="42"/>
      <c r="W103" s="42"/>
      <c r="X103" s="42"/>
      <c r="Y103" s="42"/>
      <c r="Z103" s="42"/>
    </row>
    <row r="104" ht="15.75" customHeight="1" spans="1:26" x14ac:dyDescent="0.25">
      <c r="A104" s="48"/>
      <c r="B104" s="25"/>
      <c r="C104" s="35">
        <v>236</v>
      </c>
      <c r="D104" s="25" t="s">
        <v>287</v>
      </c>
      <c r="E104" s="25" t="s">
        <v>288</v>
      </c>
      <c r="F104" s="35">
        <v>480</v>
      </c>
      <c r="G104" s="50"/>
      <c r="H104" s="35"/>
      <c r="I104" s="35"/>
      <c r="J104" s="35"/>
      <c r="K104" s="25"/>
      <c r="L104" s="25"/>
      <c r="M104" s="25"/>
      <c r="N104" s="25"/>
      <c r="O104" s="25"/>
      <c r="P104" s="25"/>
      <c r="Q104" s="25">
        <v>450</v>
      </c>
      <c r="R104" s="25"/>
      <c r="S104" s="25"/>
      <c r="T104" s="36"/>
      <c r="U104" s="53">
        <f t="shared" si="9"/>
        <v>-57</v>
      </c>
      <c r="V104" s="42"/>
      <c r="W104" s="42"/>
      <c r="X104" s="42"/>
      <c r="Y104" s="42"/>
      <c r="Z104" s="42"/>
    </row>
    <row r="105" ht="15.75" customHeight="1" spans="1:26" x14ac:dyDescent="0.25">
      <c r="A105" s="48"/>
      <c r="B105" s="25"/>
      <c r="C105" s="35">
        <v>237</v>
      </c>
      <c r="D105" s="25" t="s">
        <v>289</v>
      </c>
      <c r="E105" s="25" t="s">
        <v>290</v>
      </c>
      <c r="F105" s="53">
        <v>2000</v>
      </c>
      <c r="G105" s="50"/>
      <c r="H105" s="35"/>
      <c r="I105" s="35"/>
      <c r="J105" s="35"/>
      <c r="K105" s="25"/>
      <c r="L105" s="25"/>
      <c r="M105" s="25"/>
      <c r="N105" s="25"/>
      <c r="O105" s="25">
        <v>2000</v>
      </c>
      <c r="P105" s="25"/>
      <c r="Q105" s="25"/>
      <c r="R105" s="25"/>
      <c r="S105" s="25"/>
      <c r="T105" s="36"/>
      <c r="U105" s="53">
        <f t="shared" si="9"/>
        <v>-2057</v>
      </c>
      <c r="V105" s="42"/>
      <c r="W105" s="42"/>
      <c r="X105" s="42"/>
      <c r="Y105" s="42"/>
      <c r="Z105" s="42"/>
    </row>
    <row r="106" ht="15.75" customHeight="1" spans="1:26" x14ac:dyDescent="0.25">
      <c r="A106" s="48"/>
      <c r="B106" s="25"/>
      <c r="C106" s="35">
        <v>238</v>
      </c>
      <c r="D106" s="25" t="s">
        <v>250</v>
      </c>
      <c r="E106" s="25" t="s">
        <v>291</v>
      </c>
      <c r="F106" s="53">
        <v>1800</v>
      </c>
      <c r="G106" s="50"/>
      <c r="H106" s="25">
        <v>30</v>
      </c>
      <c r="I106" s="25">
        <v>60</v>
      </c>
      <c r="J106" s="25">
        <f t="shared" ref="J106:J107" si="10">H106*I106</f>
        <v>1800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36"/>
      <c r="U106" s="53">
        <f t="shared" si="9"/>
        <v>-3857</v>
      </c>
      <c r="V106" s="42"/>
      <c r="W106" s="42"/>
      <c r="X106" s="42"/>
      <c r="Y106" s="42"/>
      <c r="Z106" s="42"/>
    </row>
    <row r="107" ht="15.75" customHeight="1" spans="1:26" x14ac:dyDescent="0.25">
      <c r="A107" s="48"/>
      <c r="B107" s="25"/>
      <c r="C107" s="35">
        <v>239</v>
      </c>
      <c r="D107" s="25" t="s">
        <v>250</v>
      </c>
      <c r="E107" s="25" t="s">
        <v>200</v>
      </c>
      <c r="F107" s="53">
        <v>8280</v>
      </c>
      <c r="G107" s="50"/>
      <c r="H107" s="35">
        <v>138</v>
      </c>
      <c r="I107" s="35">
        <v>60</v>
      </c>
      <c r="J107" s="25">
        <f t="shared" si="10"/>
        <v>8280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36"/>
      <c r="U107" s="53">
        <f t="shared" si="9"/>
        <v>-12137</v>
      </c>
      <c r="V107" s="42"/>
      <c r="W107" s="42"/>
      <c r="X107" s="42"/>
      <c r="Y107" s="42"/>
      <c r="Z107" s="42"/>
    </row>
    <row r="108" ht="15.75" customHeight="1" spans="1:26" x14ac:dyDescent="0.25">
      <c r="A108" s="48"/>
      <c r="B108" s="25" t="s">
        <v>292</v>
      </c>
      <c r="C108" s="35"/>
      <c r="D108" s="25" t="s">
        <v>274</v>
      </c>
      <c r="E108" s="25"/>
      <c r="F108" s="35"/>
      <c r="G108" s="50">
        <v>60000</v>
      </c>
      <c r="H108" s="35"/>
      <c r="I108" s="35"/>
      <c r="J108" s="35"/>
      <c r="K108" s="25"/>
      <c r="L108" s="25"/>
      <c r="M108" s="25"/>
      <c r="N108" s="25"/>
      <c r="O108" s="25"/>
      <c r="P108" s="25"/>
      <c r="Q108" s="25"/>
      <c r="R108" s="25"/>
      <c r="S108" s="25"/>
      <c r="T108" s="36"/>
      <c r="U108" s="53">
        <f>U107-F108+60000</f>
        <v>47863</v>
      </c>
      <c r="V108" s="42"/>
      <c r="W108" s="42"/>
      <c r="X108" s="42"/>
      <c r="Y108" s="42"/>
      <c r="Z108" s="42"/>
    </row>
    <row r="109" ht="15.75" customHeight="1" spans="1:26" x14ac:dyDescent="0.25">
      <c r="A109" s="48"/>
      <c r="B109" s="25"/>
      <c r="C109" s="35">
        <v>240</v>
      </c>
      <c r="D109" s="25" t="s">
        <v>41</v>
      </c>
      <c r="E109" s="25" t="s">
        <v>162</v>
      </c>
      <c r="F109" s="53">
        <v>1700</v>
      </c>
      <c r="G109" s="50"/>
      <c r="H109" s="25">
        <v>17</v>
      </c>
      <c r="I109" s="25">
        <v>100</v>
      </c>
      <c r="J109" s="25">
        <v>1700</v>
      </c>
      <c r="K109" s="25"/>
      <c r="L109" s="25"/>
      <c r="M109" s="25"/>
      <c r="N109" s="35"/>
      <c r="O109" s="25"/>
      <c r="P109" s="25"/>
      <c r="Q109" s="25"/>
      <c r="R109" s="25"/>
      <c r="S109" s="25"/>
      <c r="T109" s="36"/>
      <c r="U109" s="53">
        <f t="shared" ref="U109:U123" si="11">U108-F109</f>
        <v>46163</v>
      </c>
      <c r="V109" s="42"/>
      <c r="W109" s="42"/>
      <c r="X109" s="42"/>
      <c r="Y109" s="42"/>
      <c r="Z109" s="42"/>
    </row>
    <row r="110" ht="15.75" customHeight="1" spans="1:26" x14ac:dyDescent="0.25">
      <c r="A110" s="48"/>
      <c r="B110" s="25"/>
      <c r="C110" s="35">
        <v>241</v>
      </c>
      <c r="D110" s="25" t="s">
        <v>41</v>
      </c>
      <c r="E110" s="25" t="s">
        <v>293</v>
      </c>
      <c r="F110" s="53">
        <v>1700</v>
      </c>
      <c r="G110" s="50"/>
      <c r="H110" s="35">
        <v>17</v>
      </c>
      <c r="I110" s="35">
        <v>100</v>
      </c>
      <c r="J110" s="35">
        <v>1700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36"/>
      <c r="U110" s="53">
        <f t="shared" si="11"/>
        <v>44463</v>
      </c>
      <c r="V110" s="42"/>
      <c r="W110" s="42"/>
      <c r="X110" s="42"/>
      <c r="Y110" s="42"/>
      <c r="Z110" s="42"/>
    </row>
    <row r="111" ht="15.75" customHeight="1" spans="1:26" x14ac:dyDescent="0.25">
      <c r="A111" s="48"/>
      <c r="B111" s="25"/>
      <c r="C111" s="35">
        <v>242</v>
      </c>
      <c r="D111" s="25" t="s">
        <v>294</v>
      </c>
      <c r="E111" s="25" t="s">
        <v>295</v>
      </c>
      <c r="F111" s="53">
        <v>4260</v>
      </c>
      <c r="G111" s="50"/>
      <c r="H111" s="35"/>
      <c r="I111" s="35"/>
      <c r="J111" s="35"/>
      <c r="K111" s="25"/>
      <c r="L111" s="25"/>
      <c r="M111" s="25"/>
      <c r="N111" s="25"/>
      <c r="O111" s="25"/>
      <c r="P111" s="25"/>
      <c r="Q111" s="25"/>
      <c r="R111" s="25"/>
      <c r="S111" s="25">
        <v>4260</v>
      </c>
      <c r="T111" s="36"/>
      <c r="U111" s="53">
        <f t="shared" si="11"/>
        <v>40203</v>
      </c>
      <c r="V111" s="42"/>
      <c r="W111" s="42"/>
      <c r="X111" s="42"/>
      <c r="Y111" s="42"/>
      <c r="Z111" s="42"/>
    </row>
    <row r="112" ht="15.75" customHeight="1" spans="1:26" x14ac:dyDescent="0.25">
      <c r="A112" s="48"/>
      <c r="B112" s="25" t="s">
        <v>296</v>
      </c>
      <c r="C112" s="35">
        <v>243</v>
      </c>
      <c r="D112" s="25" t="s">
        <v>297</v>
      </c>
      <c r="E112" s="25" t="s">
        <v>298</v>
      </c>
      <c r="F112" s="35">
        <v>960</v>
      </c>
      <c r="G112" s="50"/>
      <c r="H112" s="35"/>
      <c r="I112" s="35"/>
      <c r="J112" s="35"/>
      <c r="K112" s="25"/>
      <c r="L112" s="25"/>
      <c r="M112" s="25"/>
      <c r="N112" s="25"/>
      <c r="O112" s="25"/>
      <c r="P112" s="25"/>
      <c r="Q112" s="25">
        <v>960</v>
      </c>
      <c r="R112" s="25"/>
      <c r="S112" s="25"/>
      <c r="T112" s="36"/>
      <c r="U112" s="53">
        <f t="shared" si="11"/>
        <v>39243</v>
      </c>
      <c r="V112" s="42"/>
      <c r="W112" s="42"/>
      <c r="X112" s="42"/>
      <c r="Y112" s="42"/>
      <c r="Z112" s="42"/>
    </row>
    <row r="113" ht="15.75" customHeight="1" spans="1:26" x14ac:dyDescent="0.25">
      <c r="A113" s="48"/>
      <c r="B113" s="25"/>
      <c r="C113" s="35">
        <v>244</v>
      </c>
      <c r="D113" s="25" t="s">
        <v>13</v>
      </c>
      <c r="E113" s="25" t="s">
        <v>243</v>
      </c>
      <c r="F113" s="53">
        <v>9000</v>
      </c>
      <c r="G113" s="50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36"/>
      <c r="U113" s="53">
        <f t="shared" si="11"/>
        <v>30243</v>
      </c>
      <c r="V113" s="42"/>
      <c r="W113" s="42"/>
      <c r="X113" s="42"/>
      <c r="Y113" s="42"/>
      <c r="Z113" s="42"/>
    </row>
    <row r="114" ht="15.75" customHeight="1" spans="1:26" x14ac:dyDescent="0.25">
      <c r="A114" s="48"/>
      <c r="B114" s="25"/>
      <c r="C114" s="35">
        <v>245</v>
      </c>
      <c r="D114" s="25" t="s">
        <v>57</v>
      </c>
      <c r="E114" s="25" t="s">
        <v>299</v>
      </c>
      <c r="F114" s="35">
        <v>380</v>
      </c>
      <c r="G114" s="50"/>
      <c r="H114" s="35"/>
      <c r="I114" s="35"/>
      <c r="J114" s="35"/>
      <c r="K114" s="25"/>
      <c r="L114" s="25"/>
      <c r="M114" s="25"/>
      <c r="N114" s="25"/>
      <c r="O114" s="25"/>
      <c r="P114" s="25"/>
      <c r="Q114" s="25">
        <v>380</v>
      </c>
      <c r="R114" s="25"/>
      <c r="S114" s="25"/>
      <c r="T114" s="36"/>
      <c r="U114" s="53">
        <f t="shared" si="11"/>
        <v>29863</v>
      </c>
      <c r="V114" s="42"/>
      <c r="W114" s="42"/>
      <c r="X114" s="42"/>
      <c r="Y114" s="42"/>
      <c r="Z114" s="42"/>
    </row>
    <row r="115" ht="15.75" customHeight="1" spans="1:26" x14ac:dyDescent="0.25">
      <c r="A115" s="48"/>
      <c r="B115" s="25"/>
      <c r="C115" s="35">
        <v>246</v>
      </c>
      <c r="D115" s="25" t="s">
        <v>300</v>
      </c>
      <c r="E115" s="25"/>
      <c r="F115" s="53">
        <v>2500</v>
      </c>
      <c r="G115" s="50"/>
      <c r="H115" s="35"/>
      <c r="I115" s="35"/>
      <c r="J115" s="35"/>
      <c r="K115" s="25"/>
      <c r="L115" s="25"/>
      <c r="M115" s="25"/>
      <c r="N115" s="25"/>
      <c r="O115" s="25"/>
      <c r="P115" s="25"/>
      <c r="Q115" s="25"/>
      <c r="R115" s="25"/>
      <c r="S115" s="25"/>
      <c r="T115" s="36"/>
      <c r="U115" s="53">
        <f t="shared" si="11"/>
        <v>27363</v>
      </c>
      <c r="V115" s="42"/>
      <c r="W115" s="42"/>
      <c r="X115" s="42"/>
      <c r="Y115" s="42"/>
      <c r="Z115" s="42"/>
    </row>
    <row r="116" ht="15.75" customHeight="1" spans="1:26" x14ac:dyDescent="0.25">
      <c r="A116" s="48"/>
      <c r="B116" s="25"/>
      <c r="C116" s="35">
        <v>247</v>
      </c>
      <c r="D116" s="25" t="s">
        <v>250</v>
      </c>
      <c r="E116" s="25" t="s">
        <v>60</v>
      </c>
      <c r="F116" s="53">
        <v>1080</v>
      </c>
      <c r="G116" s="50"/>
      <c r="H116" s="25">
        <v>18</v>
      </c>
      <c r="I116" s="25">
        <v>60</v>
      </c>
      <c r="J116" s="25">
        <f>H116*I116</f>
        <v>1080</v>
      </c>
      <c r="K116" s="25"/>
      <c r="L116" s="35"/>
      <c r="M116" s="25"/>
      <c r="N116" s="25"/>
      <c r="O116" s="25"/>
      <c r="P116" s="25"/>
      <c r="Q116" s="25"/>
      <c r="R116" s="25"/>
      <c r="S116" s="25"/>
      <c r="T116" s="36"/>
      <c r="U116" s="53">
        <f t="shared" si="11"/>
        <v>26283</v>
      </c>
      <c r="V116" s="42"/>
      <c r="W116" s="42"/>
      <c r="X116" s="42"/>
      <c r="Y116" s="42"/>
      <c r="Z116" s="42"/>
    </row>
    <row r="117" ht="15.75" customHeight="1" spans="1:26" x14ac:dyDescent="0.25">
      <c r="A117" s="48"/>
      <c r="B117" s="25"/>
      <c r="C117" s="35">
        <v>248</v>
      </c>
      <c r="D117" s="25" t="s">
        <v>255</v>
      </c>
      <c r="E117" s="25" t="s">
        <v>60</v>
      </c>
      <c r="F117" s="53">
        <v>4700</v>
      </c>
      <c r="G117" s="50"/>
      <c r="H117" s="25">
        <v>47</v>
      </c>
      <c r="I117" s="25">
        <v>100</v>
      </c>
      <c r="J117" s="25">
        <v>4700</v>
      </c>
      <c r="K117" s="25"/>
      <c r="L117" s="25"/>
      <c r="M117" s="25"/>
      <c r="N117" s="35"/>
      <c r="O117" s="25"/>
      <c r="P117" s="25"/>
      <c r="Q117" s="25"/>
      <c r="R117" s="25"/>
      <c r="S117" s="25"/>
      <c r="T117" s="36"/>
      <c r="U117" s="53">
        <f t="shared" si="11"/>
        <v>21583</v>
      </c>
      <c r="V117" s="42"/>
      <c r="W117" s="42"/>
      <c r="X117" s="42"/>
      <c r="Y117" s="42"/>
      <c r="Z117" s="42"/>
    </row>
    <row r="118" ht="15.75" customHeight="1" spans="1:26" x14ac:dyDescent="0.25">
      <c r="A118" s="48"/>
      <c r="B118" s="25"/>
      <c r="C118" s="35">
        <v>249</v>
      </c>
      <c r="D118" s="25" t="s">
        <v>301</v>
      </c>
      <c r="E118" s="25" t="s">
        <v>302</v>
      </c>
      <c r="F118" s="53">
        <v>2500</v>
      </c>
      <c r="G118" s="50"/>
      <c r="H118" s="25"/>
      <c r="I118" s="25"/>
      <c r="J118" s="25"/>
      <c r="K118" s="25"/>
      <c r="L118" s="25">
        <v>2500</v>
      </c>
      <c r="M118" s="25"/>
      <c r="N118" s="35"/>
      <c r="O118" s="25"/>
      <c r="P118" s="25"/>
      <c r="Q118" s="25"/>
      <c r="R118" s="25"/>
      <c r="S118" s="25"/>
      <c r="T118" s="36"/>
      <c r="U118" s="53">
        <f t="shared" si="11"/>
        <v>19083</v>
      </c>
      <c r="V118" s="42"/>
      <c r="W118" s="42"/>
      <c r="X118" s="42"/>
      <c r="Y118" s="42"/>
      <c r="Z118" s="42"/>
    </row>
    <row r="119" ht="15.75" customHeight="1" spans="1:26" x14ac:dyDescent="0.25">
      <c r="A119" s="48"/>
      <c r="B119" s="25" t="s">
        <v>303</v>
      </c>
      <c r="C119" s="35">
        <v>250</v>
      </c>
      <c r="D119" s="25" t="s">
        <v>304</v>
      </c>
      <c r="E119" s="25" t="s">
        <v>279</v>
      </c>
      <c r="F119" s="35">
        <v>960</v>
      </c>
      <c r="G119" s="50"/>
      <c r="H119" s="25"/>
      <c r="I119" s="25"/>
      <c r="J119" s="25"/>
      <c r="K119" s="25"/>
      <c r="L119" s="25"/>
      <c r="M119" s="25"/>
      <c r="N119" s="25"/>
      <c r="O119" s="25"/>
      <c r="P119" s="25">
        <v>960</v>
      </c>
      <c r="Q119" s="35"/>
      <c r="R119" s="25"/>
      <c r="S119" s="25"/>
      <c r="T119" s="36"/>
      <c r="U119" s="53">
        <f t="shared" si="11"/>
        <v>18123</v>
      </c>
      <c r="V119" s="42"/>
      <c r="W119" s="42"/>
      <c r="X119" s="42"/>
      <c r="Y119" s="42"/>
      <c r="Z119" s="42"/>
    </row>
    <row r="120" ht="15.75" customHeight="1" spans="1:26" x14ac:dyDescent="0.25">
      <c r="A120" s="48"/>
      <c r="B120" s="25"/>
      <c r="C120" s="35">
        <v>251</v>
      </c>
      <c r="D120" s="25" t="s">
        <v>305</v>
      </c>
      <c r="E120" s="25" t="s">
        <v>279</v>
      </c>
      <c r="F120" s="35">
        <v>200</v>
      </c>
      <c r="G120" s="50"/>
      <c r="H120" s="35"/>
      <c r="I120" s="35"/>
      <c r="J120" s="35"/>
      <c r="K120" s="25"/>
      <c r="L120" s="25"/>
      <c r="M120" s="25"/>
      <c r="N120" s="25"/>
      <c r="O120" s="25"/>
      <c r="P120" s="25">
        <v>200</v>
      </c>
      <c r="Q120" s="25"/>
      <c r="R120" s="25"/>
      <c r="S120" s="25"/>
      <c r="T120" s="55"/>
      <c r="U120" s="53">
        <f t="shared" si="11"/>
        <v>17923</v>
      </c>
      <c r="V120" s="42"/>
      <c r="W120" s="42"/>
      <c r="X120" s="42"/>
      <c r="Y120" s="42"/>
      <c r="Z120" s="42"/>
    </row>
    <row r="121" ht="15.75" customHeight="1" spans="1:26" x14ac:dyDescent="0.25">
      <c r="A121" s="48"/>
      <c r="B121" s="25"/>
      <c r="C121" s="35">
        <v>252</v>
      </c>
      <c r="D121" s="25" t="s">
        <v>306</v>
      </c>
      <c r="E121" s="25" t="s">
        <v>307</v>
      </c>
      <c r="F121" s="53">
        <v>1060</v>
      </c>
      <c r="G121" s="50"/>
      <c r="H121" s="25"/>
      <c r="I121" s="25"/>
      <c r="J121" s="25"/>
      <c r="K121" s="25"/>
      <c r="L121" s="25"/>
      <c r="M121" s="35"/>
      <c r="N121" s="25"/>
      <c r="O121" s="25">
        <v>1060</v>
      </c>
      <c r="P121" s="25"/>
      <c r="Q121" s="25"/>
      <c r="R121" s="25"/>
      <c r="S121" s="25"/>
      <c r="T121" s="55"/>
      <c r="U121" s="53">
        <f t="shared" si="11"/>
        <v>16863</v>
      </c>
      <c r="V121" s="42"/>
      <c r="W121" s="42"/>
      <c r="X121" s="42"/>
      <c r="Y121" s="42"/>
      <c r="Z121" s="42"/>
    </row>
    <row r="122" ht="15.75" customHeight="1" spans="1:26" x14ac:dyDescent="0.25">
      <c r="A122" s="48"/>
      <c r="B122" s="25"/>
      <c r="C122" s="35">
        <v>253</v>
      </c>
      <c r="D122" s="25" t="s">
        <v>308</v>
      </c>
      <c r="E122" s="25" t="s">
        <v>28</v>
      </c>
      <c r="F122" s="53">
        <v>1910</v>
      </c>
      <c r="G122" s="50"/>
      <c r="H122" s="25"/>
      <c r="I122" s="25"/>
      <c r="J122" s="25"/>
      <c r="K122" s="25"/>
      <c r="L122" s="25"/>
      <c r="M122" s="25">
        <v>1910</v>
      </c>
      <c r="N122" s="35"/>
      <c r="O122" s="25"/>
      <c r="P122" s="25"/>
      <c r="Q122" s="25"/>
      <c r="R122" s="25"/>
      <c r="S122" s="25"/>
      <c r="T122" s="55"/>
      <c r="U122" s="53">
        <f t="shared" si="11"/>
        <v>14953</v>
      </c>
      <c r="V122" s="42"/>
      <c r="W122" s="42"/>
      <c r="X122" s="42"/>
      <c r="Y122" s="42"/>
      <c r="Z122" s="42"/>
    </row>
    <row r="123" ht="15.75" customHeight="1" spans="1:26" x14ac:dyDescent="0.25">
      <c r="A123" s="48"/>
      <c r="B123" s="25"/>
      <c r="C123" s="35">
        <v>254</v>
      </c>
      <c r="D123" s="25" t="s">
        <v>41</v>
      </c>
      <c r="E123" s="25" t="s">
        <v>309</v>
      </c>
      <c r="F123" s="35">
        <v>600</v>
      </c>
      <c r="G123" s="50"/>
      <c r="H123" s="25">
        <v>6</v>
      </c>
      <c r="I123" s="25">
        <v>100</v>
      </c>
      <c r="J123" s="25">
        <v>600</v>
      </c>
      <c r="K123" s="25"/>
      <c r="L123" s="25"/>
      <c r="M123" s="25"/>
      <c r="N123" s="25"/>
      <c r="O123" s="25"/>
      <c r="P123" s="25"/>
      <c r="Q123" s="35"/>
      <c r="R123" s="25"/>
      <c r="S123" s="25"/>
      <c r="T123" s="55"/>
      <c r="U123" s="53">
        <f t="shared" si="11"/>
        <v>14353</v>
      </c>
      <c r="V123" s="42"/>
      <c r="W123" s="42"/>
      <c r="X123" s="42"/>
      <c r="Y123" s="42"/>
      <c r="Z123" s="42"/>
    </row>
    <row r="124" ht="15.75" customHeight="1" spans="1:26" x14ac:dyDescent="0.25">
      <c r="A124" s="48"/>
      <c r="B124" s="25"/>
      <c r="C124" s="35"/>
      <c r="D124" s="25" t="s">
        <v>274</v>
      </c>
      <c r="E124" s="25"/>
      <c r="F124" s="35"/>
      <c r="G124" s="50">
        <v>60000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35"/>
      <c r="R124" s="25"/>
      <c r="S124" s="25"/>
      <c r="T124" s="55"/>
      <c r="U124" s="53">
        <f>U123-F124+60000</f>
        <v>74353</v>
      </c>
      <c r="V124" s="42"/>
      <c r="W124" s="42"/>
      <c r="X124" s="42"/>
      <c r="Y124" s="42"/>
      <c r="Z124" s="42"/>
    </row>
    <row r="125" ht="15.75" customHeight="1" spans="1:26" x14ac:dyDescent="0.25">
      <c r="A125" s="48"/>
      <c r="B125" s="25"/>
      <c r="C125" s="35">
        <v>255</v>
      </c>
      <c r="D125" s="25" t="s">
        <v>41</v>
      </c>
      <c r="E125" s="25" t="s">
        <v>200</v>
      </c>
      <c r="F125" s="53">
        <v>35400</v>
      </c>
      <c r="G125" s="50"/>
      <c r="H125" s="25">
        <v>354</v>
      </c>
      <c r="I125" s="25">
        <v>100</v>
      </c>
      <c r="J125" s="25">
        <v>35400</v>
      </c>
      <c r="K125" s="25"/>
      <c r="L125" s="25"/>
      <c r="M125" s="25"/>
      <c r="N125" s="25"/>
      <c r="O125" s="25"/>
      <c r="P125" s="25"/>
      <c r="Q125" s="25"/>
      <c r="R125" s="35"/>
      <c r="S125" s="25"/>
      <c r="T125" s="55"/>
      <c r="U125" s="53">
        <f t="shared" ref="U125:U139" si="12">U124-F125</f>
        <v>38953</v>
      </c>
      <c r="V125" s="42"/>
      <c r="W125" s="42"/>
      <c r="X125" s="42"/>
      <c r="Y125" s="42"/>
      <c r="Z125" s="42"/>
    </row>
    <row r="126" ht="15.75" customHeight="1" spans="1:26" x14ac:dyDescent="0.25">
      <c r="A126" s="48"/>
      <c r="B126" s="25" t="s">
        <v>310</v>
      </c>
      <c r="C126" s="35">
        <v>256</v>
      </c>
      <c r="D126" s="25" t="s">
        <v>41</v>
      </c>
      <c r="E126" s="25" t="s">
        <v>54</v>
      </c>
      <c r="F126" s="53">
        <v>7500</v>
      </c>
      <c r="G126" s="50"/>
      <c r="H126" s="25">
        <v>75</v>
      </c>
      <c r="I126" s="25">
        <v>100</v>
      </c>
      <c r="J126" s="25">
        <v>7500</v>
      </c>
      <c r="K126" s="25"/>
      <c r="L126" s="25"/>
      <c r="M126" s="25"/>
      <c r="N126" s="25"/>
      <c r="O126" s="25"/>
      <c r="P126" s="25"/>
      <c r="Q126" s="35"/>
      <c r="R126" s="25"/>
      <c r="S126" s="25"/>
      <c r="T126" s="55"/>
      <c r="U126" s="53">
        <f t="shared" si="12"/>
        <v>31453</v>
      </c>
      <c r="V126" s="42"/>
      <c r="W126" s="42"/>
      <c r="X126" s="42"/>
      <c r="Y126" s="42"/>
      <c r="Z126" s="42"/>
    </row>
    <row r="127" ht="15.75" customHeight="1" spans="1:26" x14ac:dyDescent="0.25">
      <c r="A127" s="48"/>
      <c r="B127" s="25"/>
      <c r="C127" s="35">
        <v>257</v>
      </c>
      <c r="D127" s="25" t="s">
        <v>41</v>
      </c>
      <c r="E127" s="25" t="s">
        <v>311</v>
      </c>
      <c r="F127" s="53">
        <v>2700</v>
      </c>
      <c r="G127" s="50"/>
      <c r="H127" s="25">
        <v>27</v>
      </c>
      <c r="I127" s="25">
        <v>100</v>
      </c>
      <c r="J127" s="25">
        <v>2700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36"/>
      <c r="U127" s="53">
        <f t="shared" si="12"/>
        <v>28753</v>
      </c>
      <c r="V127" s="42"/>
      <c r="W127" s="42"/>
      <c r="X127" s="42"/>
      <c r="Y127" s="42"/>
      <c r="Z127" s="42"/>
    </row>
    <row r="128" ht="15.75" customHeight="1" spans="1:26" x14ac:dyDescent="0.25">
      <c r="A128" s="48"/>
      <c r="B128" s="25"/>
      <c r="C128" s="35">
        <v>258</v>
      </c>
      <c r="D128" s="25" t="s">
        <v>41</v>
      </c>
      <c r="E128" s="25" t="s">
        <v>52</v>
      </c>
      <c r="F128" s="53">
        <v>4000</v>
      </c>
      <c r="G128" s="50"/>
      <c r="H128" s="35">
        <v>40</v>
      </c>
      <c r="I128" s="35">
        <v>100</v>
      </c>
      <c r="J128" s="35">
        <v>4000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36"/>
      <c r="U128" s="53">
        <f t="shared" si="12"/>
        <v>24753</v>
      </c>
      <c r="V128" s="42"/>
      <c r="W128" s="42"/>
      <c r="X128" s="42"/>
      <c r="Y128" s="42"/>
      <c r="Z128" s="42"/>
    </row>
    <row r="129" ht="15.75" customHeight="1" spans="1:26" x14ac:dyDescent="0.25">
      <c r="A129" s="48"/>
      <c r="B129" s="25"/>
      <c r="C129" s="35">
        <v>259</v>
      </c>
      <c r="D129" s="25" t="s">
        <v>41</v>
      </c>
      <c r="E129" s="25" t="s">
        <v>60</v>
      </c>
      <c r="F129" s="53">
        <v>1900</v>
      </c>
      <c r="G129" s="50"/>
      <c r="H129" s="35">
        <v>19</v>
      </c>
      <c r="I129" s="35">
        <v>100</v>
      </c>
      <c r="J129" s="35">
        <v>1900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36"/>
      <c r="U129" s="53">
        <f t="shared" si="12"/>
        <v>22853</v>
      </c>
      <c r="V129" s="42"/>
      <c r="W129" s="42"/>
      <c r="X129" s="42"/>
      <c r="Y129" s="42"/>
      <c r="Z129" s="42"/>
    </row>
    <row r="130" ht="15.75" customHeight="1" spans="1:26" x14ac:dyDescent="0.25">
      <c r="A130" s="48"/>
      <c r="B130" s="25"/>
      <c r="C130" s="35">
        <v>260</v>
      </c>
      <c r="D130" s="25" t="s">
        <v>312</v>
      </c>
      <c r="E130" s="25" t="s">
        <v>28</v>
      </c>
      <c r="F130" s="35">
        <v>320</v>
      </c>
      <c r="G130" s="50"/>
      <c r="H130" s="35"/>
      <c r="I130" s="35"/>
      <c r="J130" s="35"/>
      <c r="K130" s="25"/>
      <c r="L130" s="25"/>
      <c r="M130" s="25"/>
      <c r="N130" s="25"/>
      <c r="O130" s="25"/>
      <c r="P130" s="25"/>
      <c r="Q130" s="25">
        <v>320</v>
      </c>
      <c r="R130" s="25"/>
      <c r="S130" s="25"/>
      <c r="T130" s="36"/>
      <c r="U130" s="53">
        <f t="shared" si="12"/>
        <v>22533</v>
      </c>
      <c r="V130" s="42"/>
      <c r="W130" s="42"/>
      <c r="X130" s="42"/>
      <c r="Y130" s="42"/>
      <c r="Z130" s="42"/>
    </row>
    <row r="131" ht="15.75" customHeight="1" spans="1:26" x14ac:dyDescent="0.25">
      <c r="A131" s="48"/>
      <c r="B131" s="25" t="s">
        <v>313</v>
      </c>
      <c r="C131" s="35">
        <v>261</v>
      </c>
      <c r="D131" s="25" t="s">
        <v>41</v>
      </c>
      <c r="E131" s="25" t="s">
        <v>69</v>
      </c>
      <c r="F131" s="35">
        <v>5400</v>
      </c>
      <c r="G131" s="50"/>
      <c r="H131" s="25">
        <v>54</v>
      </c>
      <c r="I131" s="25">
        <v>100</v>
      </c>
      <c r="J131" s="25">
        <v>5400</v>
      </c>
      <c r="K131" s="25"/>
      <c r="L131" s="25"/>
      <c r="M131" s="25"/>
      <c r="N131" s="25"/>
      <c r="O131" s="25"/>
      <c r="P131" s="25"/>
      <c r="Q131" s="35"/>
      <c r="R131" s="25"/>
      <c r="S131" s="25"/>
      <c r="T131" s="36"/>
      <c r="U131" s="53">
        <f t="shared" si="12"/>
        <v>17133</v>
      </c>
      <c r="V131" s="42"/>
      <c r="W131" s="42"/>
      <c r="X131" s="42"/>
      <c r="Y131" s="42"/>
      <c r="Z131" s="42"/>
    </row>
    <row r="132" ht="15.75" customHeight="1" spans="1:26" x14ac:dyDescent="0.25">
      <c r="A132" s="48"/>
      <c r="B132" s="26" t="s">
        <v>314</v>
      </c>
      <c r="C132" s="29">
        <v>262</v>
      </c>
      <c r="D132" s="26" t="s">
        <v>315</v>
      </c>
      <c r="E132" s="26" t="s">
        <v>316</v>
      </c>
      <c r="F132" s="29">
        <v>300</v>
      </c>
      <c r="G132" s="50"/>
      <c r="H132" s="25"/>
      <c r="I132" s="25"/>
      <c r="J132" s="25"/>
      <c r="K132" s="25"/>
      <c r="L132" s="25"/>
      <c r="M132" s="25"/>
      <c r="N132" s="25"/>
      <c r="O132" s="25"/>
      <c r="P132" s="25">
        <v>300</v>
      </c>
      <c r="Q132" s="35"/>
      <c r="R132" s="25"/>
      <c r="S132" s="25"/>
      <c r="T132" s="36"/>
      <c r="U132" s="53">
        <f t="shared" si="12"/>
        <v>16833</v>
      </c>
      <c r="V132" s="42"/>
      <c r="W132" s="42"/>
      <c r="X132" s="42"/>
      <c r="Y132" s="42"/>
      <c r="Z132" s="42"/>
    </row>
    <row r="133" ht="15.75" customHeight="1" spans="1:26" x14ac:dyDescent="0.25">
      <c r="A133" s="48"/>
      <c r="B133" s="26"/>
      <c r="C133" s="29">
        <v>263</v>
      </c>
      <c r="D133" s="26" t="s">
        <v>317</v>
      </c>
      <c r="E133" s="26" t="s">
        <v>279</v>
      </c>
      <c r="F133" s="29">
        <v>120</v>
      </c>
      <c r="G133" s="50"/>
      <c r="H133" s="25"/>
      <c r="I133" s="25"/>
      <c r="J133" s="25"/>
      <c r="K133" s="25"/>
      <c r="L133" s="25"/>
      <c r="M133" s="25"/>
      <c r="N133" s="35"/>
      <c r="O133" s="25"/>
      <c r="P133" s="25"/>
      <c r="Q133" s="25">
        <v>120</v>
      </c>
      <c r="R133" s="25"/>
      <c r="S133" s="25"/>
      <c r="T133" s="36"/>
      <c r="U133" s="53">
        <f t="shared" si="12"/>
        <v>16713</v>
      </c>
      <c r="V133" s="42"/>
      <c r="W133" s="42"/>
      <c r="X133" s="42"/>
      <c r="Y133" s="42"/>
      <c r="Z133" s="42"/>
    </row>
    <row r="134" ht="15.75" customHeight="1" spans="1:26" x14ac:dyDescent="0.25">
      <c r="A134" s="48"/>
      <c r="B134" s="26"/>
      <c r="C134" s="29">
        <v>264</v>
      </c>
      <c r="D134" s="26" t="s">
        <v>216</v>
      </c>
      <c r="E134" s="26" t="s">
        <v>119</v>
      </c>
      <c r="F134" s="29">
        <v>500</v>
      </c>
      <c r="G134" s="50"/>
      <c r="H134" s="35"/>
      <c r="I134" s="35"/>
      <c r="J134" s="35"/>
      <c r="K134" s="25"/>
      <c r="L134" s="25"/>
      <c r="M134" s="25"/>
      <c r="N134" s="25">
        <v>500</v>
      </c>
      <c r="O134" s="25"/>
      <c r="P134" s="25"/>
      <c r="Q134" s="25"/>
      <c r="R134" s="25"/>
      <c r="S134" s="25"/>
      <c r="T134" s="36"/>
      <c r="U134" s="53">
        <f t="shared" si="12"/>
        <v>16213</v>
      </c>
      <c r="V134" s="42"/>
      <c r="W134" s="42"/>
      <c r="X134" s="42"/>
      <c r="Y134" s="42"/>
      <c r="Z134" s="42"/>
    </row>
    <row r="135" ht="15.75" customHeight="1" spans="1:26" x14ac:dyDescent="0.25">
      <c r="A135" s="48"/>
      <c r="B135" s="25" t="s">
        <v>318</v>
      </c>
      <c r="C135" s="35">
        <v>265</v>
      </c>
      <c r="D135" s="25" t="s">
        <v>319</v>
      </c>
      <c r="E135" s="25" t="s">
        <v>320</v>
      </c>
      <c r="F135" s="53">
        <v>1050</v>
      </c>
      <c r="G135" s="50"/>
      <c r="H135" s="25"/>
      <c r="I135" s="25"/>
      <c r="J135" s="25"/>
      <c r="K135" s="25"/>
      <c r="L135" s="25"/>
      <c r="M135" s="25"/>
      <c r="N135" s="25"/>
      <c r="O135" s="25">
        <v>1050</v>
      </c>
      <c r="P135" s="25"/>
      <c r="Q135" s="35"/>
      <c r="R135" s="25"/>
      <c r="S135" s="25"/>
      <c r="T135" s="36"/>
      <c r="U135" s="53">
        <f t="shared" si="12"/>
        <v>15163</v>
      </c>
      <c r="V135" s="42"/>
      <c r="W135" s="42"/>
      <c r="X135" s="42"/>
      <c r="Y135" s="42"/>
      <c r="Z135" s="42"/>
    </row>
    <row r="136" ht="15.75" customHeight="1" spans="1:26" x14ac:dyDescent="0.25">
      <c r="A136" s="48"/>
      <c r="B136" s="25"/>
      <c r="C136" s="35">
        <v>266</v>
      </c>
      <c r="D136" s="25" t="s">
        <v>278</v>
      </c>
      <c r="E136" s="25" t="s">
        <v>279</v>
      </c>
      <c r="F136" s="35">
        <v>540</v>
      </c>
      <c r="G136" s="50"/>
      <c r="H136" s="25"/>
      <c r="I136" s="25"/>
      <c r="J136" s="25"/>
      <c r="K136" s="25"/>
      <c r="L136" s="25"/>
      <c r="M136" s="25"/>
      <c r="N136" s="25"/>
      <c r="O136" s="25"/>
      <c r="P136" s="25">
        <v>540</v>
      </c>
      <c r="Q136" s="35"/>
      <c r="R136" s="25"/>
      <c r="S136" s="25"/>
      <c r="T136" s="36"/>
      <c r="U136" s="53">
        <f t="shared" si="12"/>
        <v>14623</v>
      </c>
      <c r="V136" s="42"/>
      <c r="W136" s="42"/>
      <c r="X136" s="42"/>
      <c r="Y136" s="42"/>
      <c r="Z136" s="42"/>
    </row>
    <row r="137" ht="15.75" customHeight="1" spans="1:26" x14ac:dyDescent="0.25">
      <c r="A137" s="48"/>
      <c r="B137" s="25"/>
      <c r="C137" s="35">
        <v>267</v>
      </c>
      <c r="D137" s="25" t="s">
        <v>321</v>
      </c>
      <c r="E137" s="25" t="s">
        <v>279</v>
      </c>
      <c r="F137" s="35">
        <v>275</v>
      </c>
      <c r="G137" s="50"/>
      <c r="H137" s="25"/>
      <c r="I137" s="25"/>
      <c r="J137" s="25"/>
      <c r="K137" s="25"/>
      <c r="L137" s="25"/>
      <c r="M137" s="25"/>
      <c r="N137" s="35"/>
      <c r="O137" s="25"/>
      <c r="P137" s="25">
        <v>275</v>
      </c>
      <c r="Q137" s="25"/>
      <c r="R137" s="25"/>
      <c r="S137" s="25"/>
      <c r="T137" s="36"/>
      <c r="U137" s="53">
        <f t="shared" si="12"/>
        <v>14348</v>
      </c>
      <c r="V137" s="42"/>
      <c r="W137" s="42"/>
      <c r="X137" s="42"/>
      <c r="Y137" s="42"/>
      <c r="Z137" s="42"/>
    </row>
    <row r="138" ht="15.75" customHeight="1" spans="1:26" x14ac:dyDescent="0.25">
      <c r="A138" s="48"/>
      <c r="B138" s="25"/>
      <c r="C138" s="35">
        <v>268</v>
      </c>
      <c r="D138" s="25" t="s">
        <v>322</v>
      </c>
      <c r="E138" s="25" t="s">
        <v>279</v>
      </c>
      <c r="F138" s="35">
        <v>600</v>
      </c>
      <c r="G138" s="50"/>
      <c r="H138" s="25"/>
      <c r="I138" s="25"/>
      <c r="J138" s="25"/>
      <c r="K138" s="25"/>
      <c r="L138" s="35"/>
      <c r="M138" s="25"/>
      <c r="N138" s="25"/>
      <c r="O138" s="25"/>
      <c r="P138" s="25">
        <v>600</v>
      </c>
      <c r="Q138" s="25"/>
      <c r="R138" s="25"/>
      <c r="S138" s="25"/>
      <c r="T138" s="36"/>
      <c r="U138" s="53">
        <f t="shared" si="12"/>
        <v>13748</v>
      </c>
      <c r="V138" s="42"/>
      <c r="W138" s="42"/>
      <c r="X138" s="42"/>
      <c r="Y138" s="42"/>
      <c r="Z138" s="42"/>
    </row>
    <row r="139" ht="15.75" customHeight="1" spans="1:26" x14ac:dyDescent="0.25">
      <c r="A139" s="48"/>
      <c r="B139" s="25" t="s">
        <v>323</v>
      </c>
      <c r="C139" s="35">
        <v>269</v>
      </c>
      <c r="D139" s="25" t="s">
        <v>324</v>
      </c>
      <c r="E139" s="25" t="s">
        <v>279</v>
      </c>
      <c r="F139" s="35">
        <v>305</v>
      </c>
      <c r="G139" s="50"/>
      <c r="H139" s="25"/>
      <c r="I139" s="25"/>
      <c r="J139" s="25"/>
      <c r="K139" s="25"/>
      <c r="L139" s="25"/>
      <c r="M139" s="25"/>
      <c r="N139" s="25"/>
      <c r="O139" s="25"/>
      <c r="P139" s="25">
        <v>305</v>
      </c>
      <c r="Q139" s="35"/>
      <c r="R139" s="25"/>
      <c r="S139" s="25"/>
      <c r="T139" s="36"/>
      <c r="U139" s="53">
        <f t="shared" si="12"/>
        <v>13443</v>
      </c>
      <c r="V139" s="42"/>
      <c r="W139" s="42"/>
      <c r="X139" s="42"/>
      <c r="Y139" s="42"/>
      <c r="Z139" s="42"/>
    </row>
    <row r="140" ht="15.75" customHeight="1" spans="1:26" x14ac:dyDescent="0.25">
      <c r="A140" s="48"/>
      <c r="B140" s="25"/>
      <c r="C140" s="35"/>
      <c r="D140" s="25" t="s">
        <v>219</v>
      </c>
      <c r="E140" s="25"/>
      <c r="F140" s="35"/>
      <c r="G140" s="5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35"/>
      <c r="T140" s="36"/>
      <c r="U140" s="53">
        <f>U139-F140+30000</f>
        <v>43443</v>
      </c>
      <c r="V140" s="42"/>
      <c r="W140" s="42"/>
      <c r="X140" s="42"/>
      <c r="Y140" s="42"/>
      <c r="Z140" s="42"/>
    </row>
    <row r="141" ht="15.75" customHeight="1" spans="1:26" x14ac:dyDescent="0.25">
      <c r="A141" s="48"/>
      <c r="B141" s="25"/>
      <c r="C141" s="35"/>
      <c r="D141" s="25" t="s">
        <v>325</v>
      </c>
      <c r="E141" s="25"/>
      <c r="F141" s="53"/>
      <c r="G141" s="50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36"/>
      <c r="U141" s="53">
        <f>U140-F141+56000</f>
        <v>99443</v>
      </c>
      <c r="V141" s="42"/>
      <c r="W141" s="42"/>
      <c r="X141" s="42"/>
      <c r="Y141" s="42"/>
      <c r="Z141" s="42"/>
    </row>
    <row r="142" ht="15.75" customHeight="1" spans="1:26" x14ac:dyDescent="0.25">
      <c r="A142" s="48"/>
      <c r="B142" s="25"/>
      <c r="C142" s="35">
        <v>270</v>
      </c>
      <c r="D142" s="25" t="s">
        <v>326</v>
      </c>
      <c r="E142" s="25" t="s">
        <v>327</v>
      </c>
      <c r="F142" s="53">
        <v>1300</v>
      </c>
      <c r="G142" s="50"/>
      <c r="H142" s="25"/>
      <c r="I142" s="25"/>
      <c r="J142" s="25"/>
      <c r="K142" s="25"/>
      <c r="L142" s="25">
        <v>1300</v>
      </c>
      <c r="M142" s="25"/>
      <c r="N142" s="25"/>
      <c r="O142" s="25"/>
      <c r="P142" s="25"/>
      <c r="Q142" s="25"/>
      <c r="R142" s="25"/>
      <c r="S142" s="25"/>
      <c r="T142" s="36"/>
      <c r="U142" s="53">
        <f t="shared" ref="U142:U158" si="13">U141-F142</f>
        <v>98143</v>
      </c>
      <c r="V142" s="42"/>
      <c r="W142" s="42"/>
      <c r="X142" s="42"/>
      <c r="Y142" s="42"/>
      <c r="Z142" s="42"/>
    </row>
    <row r="143" ht="15.75" customHeight="1" spans="1:26" x14ac:dyDescent="0.25">
      <c r="A143" s="48"/>
      <c r="B143" s="25"/>
      <c r="C143" s="35">
        <v>271</v>
      </c>
      <c r="D143" s="25" t="s">
        <v>328</v>
      </c>
      <c r="E143" s="25" t="s">
        <v>329</v>
      </c>
      <c r="F143" s="53">
        <v>5000</v>
      </c>
      <c r="G143" s="50"/>
      <c r="H143" s="25"/>
      <c r="I143" s="25"/>
      <c r="J143" s="25"/>
      <c r="K143" s="25"/>
      <c r="L143" s="25"/>
      <c r="M143" s="25"/>
      <c r="N143" s="25"/>
      <c r="O143" s="25"/>
      <c r="P143" s="25"/>
      <c r="Q143" s="35">
        <v>5000</v>
      </c>
      <c r="R143" s="25"/>
      <c r="S143" s="25"/>
      <c r="T143" s="36"/>
      <c r="U143" s="53">
        <f t="shared" si="13"/>
        <v>93143</v>
      </c>
      <c r="V143" s="42"/>
      <c r="W143" s="42"/>
      <c r="X143" s="42"/>
      <c r="Y143" s="42"/>
      <c r="Z143" s="42"/>
    </row>
    <row r="144" ht="15.75" customHeight="1" spans="1:26" x14ac:dyDescent="0.25">
      <c r="A144" s="48"/>
      <c r="B144" s="25"/>
      <c r="C144" s="35">
        <v>272</v>
      </c>
      <c r="D144" s="25" t="s">
        <v>330</v>
      </c>
      <c r="E144" s="25"/>
      <c r="F144" s="53">
        <v>2000</v>
      </c>
      <c r="G144" s="50"/>
      <c r="H144" s="35"/>
      <c r="I144" s="35"/>
      <c r="J144" s="35"/>
      <c r="K144" s="25"/>
      <c r="L144" s="25">
        <v>2000</v>
      </c>
      <c r="M144" s="25"/>
      <c r="N144" s="25"/>
      <c r="O144" s="25"/>
      <c r="P144" s="25"/>
      <c r="Q144" s="25"/>
      <c r="R144" s="25"/>
      <c r="S144" s="25"/>
      <c r="T144" s="36"/>
      <c r="U144" s="53">
        <f t="shared" si="13"/>
        <v>91143</v>
      </c>
      <c r="V144" s="42"/>
      <c r="W144" s="42"/>
      <c r="X144" s="42"/>
      <c r="Y144" s="42"/>
      <c r="Z144" s="42"/>
    </row>
    <row r="145" ht="15.75" customHeight="1" spans="1:26" x14ac:dyDescent="0.25">
      <c r="A145" s="48"/>
      <c r="B145" s="25" t="s">
        <v>331</v>
      </c>
      <c r="C145" s="35">
        <v>273</v>
      </c>
      <c r="D145" s="25" t="s">
        <v>332</v>
      </c>
      <c r="E145" s="25" t="s">
        <v>295</v>
      </c>
      <c r="F145" s="53">
        <v>1300</v>
      </c>
      <c r="G145" s="50"/>
      <c r="H145" s="25"/>
      <c r="I145" s="25"/>
      <c r="J145" s="25"/>
      <c r="K145" s="25"/>
      <c r="L145" s="25"/>
      <c r="M145" s="25"/>
      <c r="N145" s="35"/>
      <c r="O145" s="25"/>
      <c r="P145" s="25"/>
      <c r="Q145" s="25">
        <v>1300</v>
      </c>
      <c r="R145" s="25"/>
      <c r="S145" s="25"/>
      <c r="T145" s="36"/>
      <c r="U145" s="53">
        <f t="shared" si="13"/>
        <v>89843</v>
      </c>
      <c r="V145" s="42"/>
      <c r="W145" s="42"/>
      <c r="X145" s="42"/>
      <c r="Y145" s="42"/>
      <c r="Z145" s="42"/>
    </row>
    <row r="146" ht="15.75" customHeight="1" spans="1:26" x14ac:dyDescent="0.25">
      <c r="A146" s="48"/>
      <c r="B146" s="25"/>
      <c r="C146" s="35">
        <v>274</v>
      </c>
      <c r="D146" s="25" t="s">
        <v>333</v>
      </c>
      <c r="E146" s="25" t="s">
        <v>279</v>
      </c>
      <c r="F146" s="35">
        <v>220</v>
      </c>
      <c r="G146" s="50"/>
      <c r="H146" s="25"/>
      <c r="I146" s="25"/>
      <c r="J146" s="25"/>
      <c r="K146" s="25"/>
      <c r="L146" s="25"/>
      <c r="M146" s="25"/>
      <c r="N146" s="25"/>
      <c r="O146" s="25"/>
      <c r="P146" s="25">
        <v>220</v>
      </c>
      <c r="Q146" s="25"/>
      <c r="R146" s="25"/>
      <c r="S146" s="25"/>
      <c r="T146" s="36"/>
      <c r="U146" s="53">
        <f t="shared" si="13"/>
        <v>89623</v>
      </c>
      <c r="V146" s="42"/>
      <c r="W146" s="42"/>
      <c r="X146" s="42"/>
      <c r="Y146" s="42"/>
      <c r="Z146" s="42"/>
    </row>
    <row r="147" ht="15.75" customHeight="1" spans="1:26" x14ac:dyDescent="0.25">
      <c r="A147" s="48"/>
      <c r="B147" s="25"/>
      <c r="C147" s="35">
        <v>275</v>
      </c>
      <c r="D147" s="25" t="s">
        <v>315</v>
      </c>
      <c r="E147" s="25" t="s">
        <v>279</v>
      </c>
      <c r="F147" s="35">
        <v>280</v>
      </c>
      <c r="G147" s="50"/>
      <c r="H147" s="25"/>
      <c r="I147" s="25"/>
      <c r="J147" s="25"/>
      <c r="K147" s="25"/>
      <c r="L147" s="25"/>
      <c r="M147" s="25"/>
      <c r="N147" s="25"/>
      <c r="O147" s="25"/>
      <c r="P147" s="25">
        <v>280</v>
      </c>
      <c r="Q147" s="25"/>
      <c r="R147" s="35"/>
      <c r="S147" s="25"/>
      <c r="T147" s="36"/>
      <c r="U147" s="53">
        <f t="shared" si="13"/>
        <v>89343</v>
      </c>
      <c r="V147" s="42"/>
      <c r="W147" s="42"/>
      <c r="X147" s="42"/>
      <c r="Y147" s="42"/>
      <c r="Z147" s="42"/>
    </row>
    <row r="148" ht="15.75" customHeight="1" spans="1:26" x14ac:dyDescent="0.25">
      <c r="A148" s="48"/>
      <c r="B148" s="25"/>
      <c r="C148" s="35">
        <v>276</v>
      </c>
      <c r="D148" s="25" t="s">
        <v>334</v>
      </c>
      <c r="E148" s="25" t="s">
        <v>22</v>
      </c>
      <c r="F148" s="35">
        <v>560</v>
      </c>
      <c r="G148" s="50"/>
      <c r="H148" s="35"/>
      <c r="I148" s="35"/>
      <c r="J148" s="35"/>
      <c r="K148" s="25"/>
      <c r="L148" s="25"/>
      <c r="M148" s="25"/>
      <c r="N148" s="25"/>
      <c r="O148" s="25"/>
      <c r="P148" s="25"/>
      <c r="Q148" s="25">
        <v>560</v>
      </c>
      <c r="R148" s="25"/>
      <c r="S148" s="25"/>
      <c r="T148" s="36"/>
      <c r="U148" s="53">
        <f t="shared" si="13"/>
        <v>88783</v>
      </c>
      <c r="V148" s="42"/>
      <c r="W148" s="42"/>
      <c r="X148" s="42"/>
      <c r="Y148" s="42"/>
      <c r="Z148" s="42"/>
    </row>
    <row r="149" ht="15.75" customHeight="1" spans="1:26" x14ac:dyDescent="0.25">
      <c r="A149" s="48"/>
      <c r="B149" s="25"/>
      <c r="C149" s="35">
        <v>277</v>
      </c>
      <c r="D149" s="25" t="s">
        <v>335</v>
      </c>
      <c r="E149" s="25" t="s">
        <v>336</v>
      </c>
      <c r="F149" s="53">
        <v>1070</v>
      </c>
      <c r="G149" s="50"/>
      <c r="H149" s="35"/>
      <c r="I149" s="35"/>
      <c r="J149" s="35"/>
      <c r="K149" s="25"/>
      <c r="L149" s="25"/>
      <c r="M149" s="25"/>
      <c r="N149" s="25"/>
      <c r="O149" s="25"/>
      <c r="P149" s="25">
        <v>1070</v>
      </c>
      <c r="Q149" s="25"/>
      <c r="R149" s="25"/>
      <c r="S149" s="25"/>
      <c r="T149" s="36"/>
      <c r="U149" s="53">
        <f t="shared" si="13"/>
        <v>87713</v>
      </c>
      <c r="V149" s="42"/>
      <c r="W149" s="42"/>
      <c r="X149" s="42"/>
      <c r="Y149" s="42"/>
      <c r="Z149" s="42"/>
    </row>
    <row r="150" ht="15.75" customHeight="1" spans="1:26" x14ac:dyDescent="0.25">
      <c r="A150" s="48"/>
      <c r="B150" s="25"/>
      <c r="C150" s="35">
        <v>278</v>
      </c>
      <c r="D150" s="25" t="s">
        <v>337</v>
      </c>
      <c r="E150" s="25" t="s">
        <v>338</v>
      </c>
      <c r="F150" s="53">
        <v>1507</v>
      </c>
      <c r="G150" s="50"/>
      <c r="H150" s="35"/>
      <c r="I150" s="35"/>
      <c r="J150" s="35"/>
      <c r="K150" s="25"/>
      <c r="L150" s="25"/>
      <c r="M150" s="25"/>
      <c r="N150" s="25"/>
      <c r="O150" s="25"/>
      <c r="P150" s="25"/>
      <c r="Q150" s="25">
        <v>1507</v>
      </c>
      <c r="R150" s="25"/>
      <c r="S150" s="25"/>
      <c r="T150" s="36"/>
      <c r="U150" s="53">
        <f t="shared" si="13"/>
        <v>86206</v>
      </c>
      <c r="V150" s="42"/>
      <c r="W150" s="42"/>
      <c r="X150" s="42"/>
      <c r="Y150" s="42"/>
      <c r="Z150" s="42"/>
    </row>
    <row r="151" ht="15.75" customHeight="1" spans="1:26" x14ac:dyDescent="0.25">
      <c r="A151" s="48"/>
      <c r="B151" s="25"/>
      <c r="C151" s="35">
        <v>279</v>
      </c>
      <c r="D151" s="25" t="s">
        <v>339</v>
      </c>
      <c r="E151" s="25" t="s">
        <v>338</v>
      </c>
      <c r="F151" s="35">
        <v>405</v>
      </c>
      <c r="G151" s="50"/>
      <c r="H151" s="25"/>
      <c r="I151" s="25"/>
      <c r="J151" s="25"/>
      <c r="K151" s="25"/>
      <c r="L151" s="25"/>
      <c r="M151" s="25">
        <v>405</v>
      </c>
      <c r="N151" s="25"/>
      <c r="O151" s="25"/>
      <c r="P151" s="25"/>
      <c r="Q151" s="25"/>
      <c r="R151" s="25"/>
      <c r="S151" s="25"/>
      <c r="T151" s="36"/>
      <c r="U151" s="53">
        <f t="shared" si="13"/>
        <v>85801</v>
      </c>
      <c r="V151" s="42"/>
      <c r="W151" s="42"/>
      <c r="X151" s="42"/>
      <c r="Y151" s="42"/>
      <c r="Z151" s="42"/>
    </row>
    <row r="152" ht="15.75" customHeight="1" spans="1:26" x14ac:dyDescent="0.25">
      <c r="A152" s="48"/>
      <c r="B152" s="25"/>
      <c r="C152" s="35">
        <v>280</v>
      </c>
      <c r="D152" s="25" t="s">
        <v>340</v>
      </c>
      <c r="E152" s="25" t="s">
        <v>341</v>
      </c>
      <c r="F152" s="53">
        <v>1050</v>
      </c>
      <c r="G152" s="50"/>
      <c r="H152" s="25"/>
      <c r="I152" s="25"/>
      <c r="J152" s="25"/>
      <c r="K152" s="25"/>
      <c r="L152" s="25"/>
      <c r="M152" s="25"/>
      <c r="N152" s="25"/>
      <c r="O152" s="25"/>
      <c r="P152" s="25"/>
      <c r="Q152" s="35">
        <v>1050</v>
      </c>
      <c r="R152" s="25"/>
      <c r="S152" s="25"/>
      <c r="T152" s="36"/>
      <c r="U152" s="53">
        <f t="shared" si="13"/>
        <v>84751</v>
      </c>
      <c r="V152" s="42"/>
      <c r="W152" s="42"/>
      <c r="X152" s="42"/>
      <c r="Y152" s="42"/>
      <c r="Z152" s="42"/>
    </row>
    <row r="153" ht="15.75" customHeight="1" spans="1:26" x14ac:dyDescent="0.25">
      <c r="A153" s="48"/>
      <c r="B153" s="25"/>
      <c r="C153" s="35">
        <v>281</v>
      </c>
      <c r="D153" s="25" t="s">
        <v>342</v>
      </c>
      <c r="E153" s="25" t="s">
        <v>343</v>
      </c>
      <c r="F153" s="53">
        <v>3845</v>
      </c>
      <c r="G153" s="50"/>
      <c r="H153" s="35"/>
      <c r="I153" s="35"/>
      <c r="J153" s="35"/>
      <c r="K153" s="25"/>
      <c r="L153" s="25"/>
      <c r="M153" s="25"/>
      <c r="N153" s="25">
        <v>3845</v>
      </c>
      <c r="O153" s="25"/>
      <c r="P153" s="25"/>
      <c r="Q153" s="25"/>
      <c r="R153" s="25"/>
      <c r="S153" s="25"/>
      <c r="T153" s="36"/>
      <c r="U153" s="53">
        <f t="shared" si="13"/>
        <v>80906</v>
      </c>
      <c r="V153" s="42"/>
      <c r="W153" s="42"/>
      <c r="X153" s="42"/>
      <c r="Y153" s="42"/>
      <c r="Z153" s="42"/>
    </row>
    <row r="154" ht="15.75" customHeight="1" spans="1:26" x14ac:dyDescent="0.25">
      <c r="A154" s="48"/>
      <c r="B154" s="25"/>
      <c r="C154" s="35">
        <v>282</v>
      </c>
      <c r="D154" s="25" t="s">
        <v>344</v>
      </c>
      <c r="E154" s="25" t="s">
        <v>345</v>
      </c>
      <c r="F154" s="53">
        <v>5800</v>
      </c>
      <c r="G154" s="5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v>5800</v>
      </c>
      <c r="T154" s="36"/>
      <c r="U154" s="53">
        <f t="shared" si="13"/>
        <v>75106</v>
      </c>
      <c r="V154" s="42"/>
      <c r="W154" s="42"/>
      <c r="X154" s="42"/>
      <c r="Y154" s="42"/>
      <c r="Z154" s="42"/>
    </row>
    <row r="155" ht="15.75" customHeight="1" spans="1:26" x14ac:dyDescent="0.25">
      <c r="A155" s="48"/>
      <c r="B155" s="25"/>
      <c r="C155" s="35">
        <v>283</v>
      </c>
      <c r="D155" s="25" t="s">
        <v>346</v>
      </c>
      <c r="E155" s="25" t="s">
        <v>347</v>
      </c>
      <c r="F155" s="53">
        <v>5000</v>
      </c>
      <c r="G155" s="50"/>
      <c r="H155" s="25"/>
      <c r="I155" s="25"/>
      <c r="J155" s="25"/>
      <c r="K155" s="25"/>
      <c r="L155" s="25"/>
      <c r="M155" s="25"/>
      <c r="N155" s="25"/>
      <c r="O155" s="25">
        <v>5000</v>
      </c>
      <c r="P155" s="25"/>
      <c r="Q155" s="25"/>
      <c r="R155" s="25"/>
      <c r="S155" s="25"/>
      <c r="T155" s="36"/>
      <c r="U155" s="53">
        <f t="shared" si="13"/>
        <v>70106</v>
      </c>
      <c r="V155" s="42"/>
      <c r="W155" s="42"/>
      <c r="X155" s="42"/>
      <c r="Y155" s="42"/>
      <c r="Z155" s="42"/>
    </row>
    <row r="156" ht="15.75" customHeight="1" spans="1:26" x14ac:dyDescent="0.25">
      <c r="A156" s="48"/>
      <c r="B156" s="25"/>
      <c r="C156" s="35">
        <v>284</v>
      </c>
      <c r="D156" s="25" t="s">
        <v>326</v>
      </c>
      <c r="E156" s="25" t="s">
        <v>327</v>
      </c>
      <c r="F156" s="53">
        <v>1300</v>
      </c>
      <c r="G156" s="50"/>
      <c r="H156" s="25"/>
      <c r="I156" s="25"/>
      <c r="J156" s="25"/>
      <c r="K156" s="25"/>
      <c r="L156" s="25">
        <v>1300</v>
      </c>
      <c r="M156" s="25"/>
      <c r="N156" s="25"/>
      <c r="O156" s="25"/>
      <c r="P156" s="25"/>
      <c r="Q156" s="25"/>
      <c r="R156" s="25"/>
      <c r="S156" s="25"/>
      <c r="T156" s="36"/>
      <c r="U156" s="53">
        <f t="shared" si="13"/>
        <v>68806</v>
      </c>
      <c r="V156" s="42"/>
      <c r="W156" s="42"/>
      <c r="X156" s="42"/>
      <c r="Y156" s="42"/>
      <c r="Z156" s="42"/>
    </row>
    <row r="157" ht="15.75" customHeight="1" spans="1:26" x14ac:dyDescent="0.25">
      <c r="A157" s="48"/>
      <c r="B157" s="25"/>
      <c r="C157" s="35">
        <v>285</v>
      </c>
      <c r="D157" s="25" t="s">
        <v>348</v>
      </c>
      <c r="E157" s="25" t="s">
        <v>349</v>
      </c>
      <c r="F157" s="53">
        <v>1500</v>
      </c>
      <c r="G157" s="50"/>
      <c r="H157" s="25"/>
      <c r="I157" s="25"/>
      <c r="J157" s="25"/>
      <c r="K157" s="25"/>
      <c r="L157" s="25"/>
      <c r="M157" s="25"/>
      <c r="N157" s="25"/>
      <c r="O157" s="25"/>
      <c r="P157" s="25"/>
      <c r="Q157" s="25">
        <v>1500</v>
      </c>
      <c r="R157" s="25"/>
      <c r="S157" s="25"/>
      <c r="T157" s="36"/>
      <c r="U157" s="53">
        <f t="shared" si="13"/>
        <v>67306</v>
      </c>
      <c r="V157" s="42"/>
      <c r="W157" s="42"/>
      <c r="X157" s="42"/>
      <c r="Y157" s="42"/>
      <c r="Z157" s="42"/>
    </row>
    <row r="158" ht="15.75" customHeight="1" spans="1:26" x14ac:dyDescent="0.25">
      <c r="A158" s="48"/>
      <c r="B158" s="25" t="s">
        <v>350</v>
      </c>
      <c r="C158" s="35">
        <v>286</v>
      </c>
      <c r="D158" s="25" t="s">
        <v>41</v>
      </c>
      <c r="E158" s="25" t="s">
        <v>52</v>
      </c>
      <c r="F158" s="53">
        <v>2500</v>
      </c>
      <c r="G158" s="50"/>
      <c r="H158" s="25">
        <v>25</v>
      </c>
      <c r="I158" s="25">
        <v>100</v>
      </c>
      <c r="J158" s="25">
        <v>2500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36"/>
      <c r="U158" s="53">
        <f t="shared" si="13"/>
        <v>64806</v>
      </c>
      <c r="V158" s="42"/>
      <c r="W158" s="42"/>
      <c r="X158" s="42"/>
      <c r="Y158" s="42"/>
      <c r="Z158" s="42"/>
    </row>
    <row r="159" ht="15.75" customHeight="1" spans="1:26" x14ac:dyDescent="0.25">
      <c r="A159" s="48"/>
      <c r="B159" s="25"/>
      <c r="C159" s="25"/>
      <c r="D159" s="25" t="s">
        <v>274</v>
      </c>
      <c r="E159" s="25"/>
      <c r="F159" s="25"/>
      <c r="G159" s="50">
        <v>60000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36"/>
      <c r="U159" s="53">
        <f>U158-F159+60000</f>
        <v>124806</v>
      </c>
      <c r="V159" s="42"/>
      <c r="W159" s="42"/>
      <c r="X159" s="42"/>
      <c r="Y159" s="42"/>
      <c r="Z159" s="42"/>
    </row>
    <row r="160" ht="15.75" customHeight="1" spans="1:26" x14ac:dyDescent="0.25">
      <c r="A160" s="48"/>
      <c r="B160" s="25"/>
      <c r="C160" s="35">
        <v>286</v>
      </c>
      <c r="D160" s="25" t="s">
        <v>351</v>
      </c>
      <c r="E160" s="25" t="s">
        <v>298</v>
      </c>
      <c r="F160" s="53">
        <v>1550</v>
      </c>
      <c r="G160" s="50"/>
      <c r="H160" s="35"/>
      <c r="I160" s="25"/>
      <c r="J160" s="53"/>
      <c r="K160" s="35"/>
      <c r="L160" s="53"/>
      <c r="M160" s="53"/>
      <c r="N160" s="53"/>
      <c r="O160" s="35"/>
      <c r="P160" s="35"/>
      <c r="Q160" s="53">
        <v>1550</v>
      </c>
      <c r="R160" s="53"/>
      <c r="S160" s="53"/>
      <c r="T160" s="36"/>
      <c r="U160" s="53">
        <f t="shared" ref="U160:U181" si="14">U159-F160</f>
        <v>123256</v>
      </c>
      <c r="V160" s="42"/>
      <c r="W160" s="42"/>
      <c r="X160" s="42"/>
      <c r="Y160" s="42"/>
      <c r="Z160" s="42"/>
    </row>
    <row r="161" ht="15.75" customHeight="1" spans="1:26" x14ac:dyDescent="0.25">
      <c r="A161" s="42"/>
      <c r="B161" s="15"/>
      <c r="C161" s="29">
        <v>287</v>
      </c>
      <c r="D161" s="26" t="s">
        <v>352</v>
      </c>
      <c r="E161" s="26" t="s">
        <v>353</v>
      </c>
      <c r="F161" s="56">
        <v>1600</v>
      </c>
      <c r="G161" s="57"/>
      <c r="H161" s="26"/>
      <c r="I161" s="26"/>
      <c r="J161" s="26"/>
      <c r="K161" s="26"/>
      <c r="L161" s="26"/>
      <c r="M161" s="26"/>
      <c r="N161" s="26"/>
      <c r="O161" s="26">
        <v>1600</v>
      </c>
      <c r="P161" s="26"/>
      <c r="Q161" s="26"/>
      <c r="R161" s="26"/>
      <c r="S161" s="26"/>
      <c r="T161" s="37"/>
      <c r="U161" s="56">
        <f t="shared" si="14"/>
        <v>121656</v>
      </c>
      <c r="V161" s="42"/>
      <c r="W161" s="42"/>
      <c r="X161" s="42"/>
      <c r="Y161" s="42"/>
      <c r="Z161" s="42"/>
    </row>
    <row r="162" ht="15.75" customHeight="1" spans="1:26" x14ac:dyDescent="0.25">
      <c r="A162" s="42"/>
      <c r="B162" s="26"/>
      <c r="C162" s="29">
        <v>288</v>
      </c>
      <c r="D162" s="26" t="s">
        <v>354</v>
      </c>
      <c r="E162" s="26" t="s">
        <v>355</v>
      </c>
      <c r="F162" s="29">
        <v>800</v>
      </c>
      <c r="G162" s="57"/>
      <c r="H162" s="26"/>
      <c r="I162" s="26"/>
      <c r="J162" s="26"/>
      <c r="K162" s="26"/>
      <c r="L162" s="26"/>
      <c r="M162" s="26"/>
      <c r="N162" s="26"/>
      <c r="O162" s="26"/>
      <c r="P162" s="26"/>
      <c r="Q162" s="26">
        <v>800</v>
      </c>
      <c r="R162" s="26"/>
      <c r="S162" s="26"/>
      <c r="T162" s="37"/>
      <c r="U162" s="56">
        <f t="shared" si="14"/>
        <v>120856</v>
      </c>
      <c r="V162" s="42"/>
      <c r="W162" s="42"/>
      <c r="X162" s="42"/>
      <c r="Y162" s="42"/>
      <c r="Z162" s="42"/>
    </row>
    <row r="163" ht="15.75" customHeight="1" spans="1:26" x14ac:dyDescent="0.25">
      <c r="A163" s="42"/>
      <c r="B163" s="26"/>
      <c r="C163" s="29">
        <v>289</v>
      </c>
      <c r="D163" s="26" t="s">
        <v>356</v>
      </c>
      <c r="E163" s="26" t="s">
        <v>316</v>
      </c>
      <c r="F163" s="29">
        <v>200</v>
      </c>
      <c r="G163" s="57"/>
      <c r="H163" s="26"/>
      <c r="I163" s="26"/>
      <c r="J163" s="26"/>
      <c r="K163" s="26"/>
      <c r="L163" s="26"/>
      <c r="M163" s="26"/>
      <c r="N163" s="26"/>
      <c r="O163" s="26"/>
      <c r="P163" s="26">
        <v>200</v>
      </c>
      <c r="Q163" s="26"/>
      <c r="R163" s="26"/>
      <c r="S163" s="26"/>
      <c r="T163" s="37"/>
      <c r="U163" s="56">
        <f t="shared" si="14"/>
        <v>120656</v>
      </c>
      <c r="V163" s="42"/>
      <c r="W163" s="42"/>
      <c r="X163" s="42"/>
      <c r="Y163" s="42"/>
      <c r="Z163" s="42"/>
    </row>
    <row r="164" ht="15.75" customHeight="1" spans="1:26" x14ac:dyDescent="0.25">
      <c r="A164" s="42"/>
      <c r="B164" s="26"/>
      <c r="C164" s="29">
        <v>290</v>
      </c>
      <c r="D164" s="26" t="s">
        <v>357</v>
      </c>
      <c r="E164" s="26" t="s">
        <v>358</v>
      </c>
      <c r="F164" s="29">
        <v>300</v>
      </c>
      <c r="G164" s="57"/>
      <c r="H164" s="26"/>
      <c r="I164" s="26"/>
      <c r="J164" s="26"/>
      <c r="K164" s="26"/>
      <c r="L164" s="26"/>
      <c r="M164" s="26"/>
      <c r="N164" s="26"/>
      <c r="O164" s="26"/>
      <c r="P164" s="26"/>
      <c r="Q164" s="26">
        <v>300</v>
      </c>
      <c r="R164" s="26"/>
      <c r="S164" s="26"/>
      <c r="T164" s="37"/>
      <c r="U164" s="56">
        <f t="shared" si="14"/>
        <v>120356</v>
      </c>
      <c r="V164" s="42"/>
      <c r="W164" s="42"/>
      <c r="X164" s="42"/>
      <c r="Y164" s="42"/>
      <c r="Z164" s="42"/>
    </row>
    <row r="165" ht="15.75" customHeight="1" spans="1:26" x14ac:dyDescent="0.25">
      <c r="A165" s="42"/>
      <c r="B165" s="26"/>
      <c r="C165" s="29">
        <v>291</v>
      </c>
      <c r="D165" s="26" t="s">
        <v>333</v>
      </c>
      <c r="E165" s="26" t="s">
        <v>279</v>
      </c>
      <c r="F165" s="29">
        <v>150</v>
      </c>
      <c r="G165" s="57"/>
      <c r="H165" s="26"/>
      <c r="I165" s="26"/>
      <c r="J165" s="26"/>
      <c r="K165" s="26"/>
      <c r="L165" s="26"/>
      <c r="M165" s="26"/>
      <c r="N165" s="26"/>
      <c r="O165" s="26"/>
      <c r="P165" s="26">
        <v>150</v>
      </c>
      <c r="Q165" s="26"/>
      <c r="R165" s="26"/>
      <c r="S165" s="26"/>
      <c r="T165" s="37"/>
      <c r="U165" s="56">
        <f t="shared" si="14"/>
        <v>120206</v>
      </c>
      <c r="V165" s="42"/>
      <c r="W165" s="42"/>
      <c r="X165" s="42"/>
      <c r="Y165" s="42"/>
      <c r="Z165" s="42"/>
    </row>
    <row r="166" ht="15.75" customHeight="1" spans="1:26" x14ac:dyDescent="0.25">
      <c r="A166" s="42"/>
      <c r="B166" s="26" t="s">
        <v>359</v>
      </c>
      <c r="C166" s="29">
        <v>292</v>
      </c>
      <c r="D166" s="26" t="s">
        <v>41</v>
      </c>
      <c r="E166" s="26" t="s">
        <v>200</v>
      </c>
      <c r="F166" s="56">
        <v>48100</v>
      </c>
      <c r="G166" s="57"/>
      <c r="H166" s="26">
        <v>481</v>
      </c>
      <c r="I166" s="26">
        <v>100</v>
      </c>
      <c r="J166" s="26">
        <v>48100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37"/>
      <c r="U166" s="56">
        <f t="shared" si="14"/>
        <v>72106</v>
      </c>
      <c r="V166" s="42"/>
      <c r="W166" s="42"/>
      <c r="X166" s="42"/>
      <c r="Y166" s="42"/>
      <c r="Z166" s="42"/>
    </row>
    <row r="167" ht="15.75" customHeight="1" spans="1:26" x14ac:dyDescent="0.25">
      <c r="A167" s="42"/>
      <c r="B167" s="26"/>
      <c r="C167" s="29">
        <v>293</v>
      </c>
      <c r="D167" s="26" t="s">
        <v>360</v>
      </c>
      <c r="E167" s="26" t="s">
        <v>108</v>
      </c>
      <c r="F167" s="56">
        <v>8170</v>
      </c>
      <c r="G167" s="57"/>
      <c r="H167" s="26"/>
      <c r="I167" s="26"/>
      <c r="J167" s="26"/>
      <c r="K167" s="26"/>
      <c r="L167" s="26"/>
      <c r="M167" s="26"/>
      <c r="N167" s="26"/>
      <c r="O167" s="26"/>
      <c r="P167" s="26"/>
      <c r="Q167" s="26">
        <v>8170</v>
      </c>
      <c r="R167" s="26"/>
      <c r="S167" s="26"/>
      <c r="T167" s="37"/>
      <c r="U167" s="56">
        <f t="shared" si="14"/>
        <v>63936</v>
      </c>
      <c r="V167" s="42"/>
      <c r="W167" s="42"/>
      <c r="X167" s="42"/>
      <c r="Y167" s="42"/>
      <c r="Z167" s="42"/>
    </row>
    <row r="168" ht="15.75" customHeight="1" spans="1:26" x14ac:dyDescent="0.25">
      <c r="A168" s="42"/>
      <c r="B168" s="26"/>
      <c r="C168" s="29">
        <v>294</v>
      </c>
      <c r="D168" s="26" t="s">
        <v>361</v>
      </c>
      <c r="E168" s="26" t="s">
        <v>362</v>
      </c>
      <c r="F168" s="56">
        <v>1215</v>
      </c>
      <c r="G168" s="57"/>
      <c r="H168" s="26"/>
      <c r="I168" s="26"/>
      <c r="J168" s="26"/>
      <c r="K168" s="26"/>
      <c r="L168" s="26"/>
      <c r="M168" s="26"/>
      <c r="N168" s="26"/>
      <c r="O168" s="26"/>
      <c r="P168" s="26"/>
      <c r="Q168" s="26">
        <v>1215</v>
      </c>
      <c r="R168" s="26"/>
      <c r="S168" s="26"/>
      <c r="T168" s="37"/>
      <c r="U168" s="56">
        <f t="shared" si="14"/>
        <v>62721</v>
      </c>
      <c r="V168" s="42"/>
      <c r="W168" s="42"/>
      <c r="X168" s="42"/>
      <c r="Y168" s="42"/>
      <c r="Z168" s="42"/>
    </row>
    <row r="169" ht="15.75" customHeight="1" spans="1:26" x14ac:dyDescent="0.25">
      <c r="A169" s="42"/>
      <c r="B169" s="26"/>
      <c r="C169" s="29">
        <v>295</v>
      </c>
      <c r="D169" s="26" t="s">
        <v>363</v>
      </c>
      <c r="E169" s="26" t="s">
        <v>364</v>
      </c>
      <c r="F169" s="56">
        <v>8580</v>
      </c>
      <c r="G169" s="57"/>
      <c r="H169" s="26"/>
      <c r="I169" s="26"/>
      <c r="J169" s="26"/>
      <c r="K169" s="26"/>
      <c r="L169" s="26"/>
      <c r="M169" s="26"/>
      <c r="N169" s="26"/>
      <c r="O169" s="26"/>
      <c r="P169" s="26"/>
      <c r="Q169" s="26">
        <v>8580</v>
      </c>
      <c r="R169" s="26"/>
      <c r="S169" s="26"/>
      <c r="T169" s="37"/>
      <c r="U169" s="56">
        <f t="shared" si="14"/>
        <v>54141</v>
      </c>
      <c r="V169" s="42"/>
      <c r="W169" s="42"/>
      <c r="X169" s="42"/>
      <c r="Y169" s="42"/>
      <c r="Z169" s="42"/>
    </row>
    <row r="170" ht="15.75" customHeight="1" spans="1:26" x14ac:dyDescent="0.25">
      <c r="A170" s="42"/>
      <c r="B170" s="26"/>
      <c r="C170" s="29">
        <v>296</v>
      </c>
      <c r="D170" s="26" t="s">
        <v>365</v>
      </c>
      <c r="E170" s="26" t="s">
        <v>329</v>
      </c>
      <c r="F170" s="56">
        <v>7500</v>
      </c>
      <c r="G170" s="57"/>
      <c r="H170" s="26"/>
      <c r="I170" s="26"/>
      <c r="J170" s="26"/>
      <c r="K170" s="26"/>
      <c r="L170" s="26"/>
      <c r="M170" s="26"/>
      <c r="N170" s="26"/>
      <c r="O170" s="26"/>
      <c r="P170" s="26"/>
      <c r="Q170" s="26">
        <v>7500</v>
      </c>
      <c r="R170" s="26"/>
      <c r="S170" s="26"/>
      <c r="T170" s="37"/>
      <c r="U170" s="56">
        <f t="shared" si="14"/>
        <v>46641</v>
      </c>
      <c r="V170" s="42"/>
      <c r="W170" s="42"/>
      <c r="X170" s="42"/>
      <c r="Y170" s="42"/>
      <c r="Z170" s="42"/>
    </row>
    <row r="171" ht="15.75" customHeight="1" spans="1:26" x14ac:dyDescent="0.25">
      <c r="A171" s="42"/>
      <c r="B171" s="26"/>
      <c r="C171" s="29">
        <v>297</v>
      </c>
      <c r="D171" s="26" t="s">
        <v>366</v>
      </c>
      <c r="E171" s="26" t="s">
        <v>367</v>
      </c>
      <c r="F171" s="29">
        <v>900</v>
      </c>
      <c r="G171" s="57"/>
      <c r="H171" s="26"/>
      <c r="I171" s="26"/>
      <c r="J171" s="26"/>
      <c r="K171" s="26"/>
      <c r="L171" s="26"/>
      <c r="M171" s="26"/>
      <c r="N171" s="26"/>
      <c r="O171" s="26"/>
      <c r="P171" s="26"/>
      <c r="Q171" s="26">
        <v>900</v>
      </c>
      <c r="R171" s="26"/>
      <c r="S171" s="26"/>
      <c r="T171" s="37"/>
      <c r="U171" s="56">
        <f t="shared" si="14"/>
        <v>45741</v>
      </c>
      <c r="V171" s="42"/>
      <c r="W171" s="42"/>
      <c r="X171" s="42"/>
      <c r="Y171" s="42"/>
      <c r="Z171" s="42"/>
    </row>
    <row r="172" ht="15.75" customHeight="1" spans="1:26" x14ac:dyDescent="0.25">
      <c r="A172" s="42"/>
      <c r="B172" s="26"/>
      <c r="C172" s="29">
        <v>298</v>
      </c>
      <c r="D172" s="26" t="s">
        <v>368</v>
      </c>
      <c r="E172" s="26" t="s">
        <v>358</v>
      </c>
      <c r="F172" s="29">
        <v>60</v>
      </c>
      <c r="G172" s="57"/>
      <c r="H172" s="26"/>
      <c r="I172" s="26"/>
      <c r="J172" s="26"/>
      <c r="K172" s="26"/>
      <c r="L172" s="26"/>
      <c r="M172" s="26"/>
      <c r="N172" s="26"/>
      <c r="O172" s="26"/>
      <c r="P172" s="26"/>
      <c r="Q172" s="26">
        <v>60</v>
      </c>
      <c r="R172" s="26"/>
      <c r="S172" s="26"/>
      <c r="T172" s="37"/>
      <c r="U172" s="56">
        <f t="shared" si="14"/>
        <v>45681</v>
      </c>
      <c r="V172" s="42"/>
      <c r="W172" s="42"/>
      <c r="X172" s="42"/>
      <c r="Y172" s="42"/>
      <c r="Z172" s="42"/>
    </row>
    <row r="173" ht="15.75" customHeight="1" spans="1:26" x14ac:dyDescent="0.25">
      <c r="A173" s="42"/>
      <c r="B173" s="26"/>
      <c r="C173" s="29">
        <v>299</v>
      </c>
      <c r="D173" s="26" t="s">
        <v>48</v>
      </c>
      <c r="E173" s="26" t="s">
        <v>279</v>
      </c>
      <c r="F173" s="29">
        <v>100</v>
      </c>
      <c r="G173" s="57"/>
      <c r="H173" s="26"/>
      <c r="I173" s="26"/>
      <c r="J173" s="26"/>
      <c r="K173" s="26"/>
      <c r="L173" s="26"/>
      <c r="M173" s="26"/>
      <c r="N173" s="26"/>
      <c r="O173" s="26"/>
      <c r="P173" s="26">
        <v>100</v>
      </c>
      <c r="Q173" s="26"/>
      <c r="R173" s="26"/>
      <c r="S173" s="26"/>
      <c r="T173" s="37"/>
      <c r="U173" s="56">
        <f t="shared" si="14"/>
        <v>45581</v>
      </c>
      <c r="V173" s="42"/>
      <c r="W173" s="42"/>
      <c r="X173" s="42"/>
      <c r="Y173" s="42"/>
      <c r="Z173" s="42"/>
    </row>
    <row r="174" ht="15.75" customHeight="1" spans="1:26" x14ac:dyDescent="0.25">
      <c r="A174" s="42"/>
      <c r="B174" s="26"/>
      <c r="C174" s="29">
        <v>300</v>
      </c>
      <c r="D174" s="26" t="s">
        <v>369</v>
      </c>
      <c r="E174" s="26" t="s">
        <v>370</v>
      </c>
      <c r="F174" s="56">
        <v>1100</v>
      </c>
      <c r="G174" s="57"/>
      <c r="H174" s="26"/>
      <c r="I174" s="26"/>
      <c r="J174" s="26"/>
      <c r="K174" s="26"/>
      <c r="L174" s="26"/>
      <c r="M174" s="26"/>
      <c r="N174" s="26"/>
      <c r="O174" s="26"/>
      <c r="P174" s="26"/>
      <c r="Q174" s="26">
        <v>1100</v>
      </c>
      <c r="R174" s="26"/>
      <c r="S174" s="26"/>
      <c r="T174" s="37"/>
      <c r="U174" s="56">
        <f t="shared" si="14"/>
        <v>44481</v>
      </c>
      <c r="V174" s="42"/>
      <c r="W174" s="42"/>
      <c r="X174" s="42"/>
      <c r="Y174" s="42"/>
      <c r="Z174" s="42"/>
    </row>
    <row r="175" ht="15.75" customHeight="1" spans="1:26" x14ac:dyDescent="0.25">
      <c r="A175" s="42"/>
      <c r="B175" s="26"/>
      <c r="C175" s="29">
        <v>301</v>
      </c>
      <c r="D175" s="26" t="s">
        <v>371</v>
      </c>
      <c r="E175" s="26" t="s">
        <v>372</v>
      </c>
      <c r="F175" s="29">
        <v>230</v>
      </c>
      <c r="G175" s="57"/>
      <c r="H175" s="26"/>
      <c r="I175" s="26"/>
      <c r="J175" s="26"/>
      <c r="K175" s="26"/>
      <c r="L175" s="26"/>
      <c r="M175" s="26"/>
      <c r="N175" s="26"/>
      <c r="O175" s="26"/>
      <c r="P175" s="26"/>
      <c r="Q175" s="26">
        <v>230</v>
      </c>
      <c r="R175" s="26"/>
      <c r="S175" s="26"/>
      <c r="T175" s="37"/>
      <c r="U175" s="56">
        <f t="shared" si="14"/>
        <v>44251</v>
      </c>
      <c r="V175" s="42"/>
      <c r="W175" s="42"/>
      <c r="X175" s="42"/>
      <c r="Y175" s="42"/>
      <c r="Z175" s="42"/>
    </row>
    <row r="176" ht="15.75" customHeight="1" spans="1:26" x14ac:dyDescent="0.25">
      <c r="A176" s="42"/>
      <c r="B176" s="26"/>
      <c r="C176" s="29">
        <v>302</v>
      </c>
      <c r="D176" s="26" t="s">
        <v>373</v>
      </c>
      <c r="E176" s="26" t="s">
        <v>374</v>
      </c>
      <c r="F176" s="56">
        <v>1440</v>
      </c>
      <c r="G176" s="57"/>
      <c r="H176" s="26"/>
      <c r="I176" s="26"/>
      <c r="J176" s="26"/>
      <c r="K176" s="26"/>
      <c r="L176" s="26"/>
      <c r="M176" s="26"/>
      <c r="N176" s="26"/>
      <c r="O176" s="26"/>
      <c r="P176" s="26"/>
      <c r="Q176" s="26">
        <v>1440</v>
      </c>
      <c r="R176" s="26"/>
      <c r="S176" s="26"/>
      <c r="T176" s="37"/>
      <c r="U176" s="56">
        <f t="shared" si="14"/>
        <v>42811</v>
      </c>
      <c r="V176" s="42"/>
      <c r="W176" s="42"/>
      <c r="X176" s="42"/>
      <c r="Y176" s="42"/>
      <c r="Z176" s="42"/>
    </row>
    <row r="177" ht="15.75" customHeight="1" spans="1:26" x14ac:dyDescent="0.25">
      <c r="A177" s="42"/>
      <c r="B177" s="26"/>
      <c r="C177" s="29">
        <v>303</v>
      </c>
      <c r="D177" s="26" t="s">
        <v>216</v>
      </c>
      <c r="E177" s="26" t="s">
        <v>186</v>
      </c>
      <c r="F177" s="29">
        <v>500</v>
      </c>
      <c r="G177" s="57"/>
      <c r="H177" s="26"/>
      <c r="I177" s="26"/>
      <c r="J177" s="26"/>
      <c r="K177" s="26"/>
      <c r="L177" s="26"/>
      <c r="M177" s="26"/>
      <c r="N177" s="26">
        <v>500</v>
      </c>
      <c r="O177" s="26"/>
      <c r="P177" s="26"/>
      <c r="Q177" s="26"/>
      <c r="R177" s="26"/>
      <c r="S177" s="26"/>
      <c r="T177" s="37"/>
      <c r="U177" s="56">
        <f t="shared" si="14"/>
        <v>42311</v>
      </c>
      <c r="V177" s="42"/>
      <c r="W177" s="42"/>
      <c r="X177" s="42"/>
      <c r="Y177" s="42"/>
      <c r="Z177" s="42"/>
    </row>
    <row r="178" ht="15.75" customHeight="1" spans="1:26" x14ac:dyDescent="0.25">
      <c r="A178" s="42"/>
      <c r="B178" s="26" t="s">
        <v>375</v>
      </c>
      <c r="C178" s="29">
        <v>304</v>
      </c>
      <c r="D178" s="26" t="s">
        <v>376</v>
      </c>
      <c r="E178" s="26" t="s">
        <v>377</v>
      </c>
      <c r="F178" s="29">
        <v>720</v>
      </c>
      <c r="G178" s="57"/>
      <c r="H178" s="26"/>
      <c r="I178" s="26"/>
      <c r="J178" s="26"/>
      <c r="K178" s="26"/>
      <c r="L178" s="26"/>
      <c r="M178" s="26"/>
      <c r="N178" s="26"/>
      <c r="O178" s="26"/>
      <c r="P178" s="26"/>
      <c r="Q178" s="26">
        <v>720</v>
      </c>
      <c r="R178" s="26"/>
      <c r="S178" s="26"/>
      <c r="T178" s="37"/>
      <c r="U178" s="56">
        <f t="shared" si="14"/>
        <v>41591</v>
      </c>
      <c r="V178" s="42"/>
      <c r="W178" s="42"/>
      <c r="X178" s="42"/>
      <c r="Y178" s="42"/>
      <c r="Z178" s="42"/>
    </row>
    <row r="179" ht="15.75" customHeight="1" spans="1:26" x14ac:dyDescent="0.25">
      <c r="A179" s="42"/>
      <c r="B179" s="26"/>
      <c r="C179" s="29">
        <v>305</v>
      </c>
      <c r="D179" s="26" t="s">
        <v>378</v>
      </c>
      <c r="E179" s="26" t="s">
        <v>379</v>
      </c>
      <c r="F179" s="56">
        <v>25000</v>
      </c>
      <c r="G179" s="57"/>
      <c r="H179" s="26"/>
      <c r="I179" s="26"/>
      <c r="J179" s="26"/>
      <c r="K179" s="26"/>
      <c r="L179" s="26">
        <v>25000</v>
      </c>
      <c r="M179" s="26"/>
      <c r="N179" s="26"/>
      <c r="O179" s="26"/>
      <c r="P179" s="26"/>
      <c r="Q179" s="26"/>
      <c r="R179" s="26"/>
      <c r="S179" s="26"/>
      <c r="T179" s="37"/>
      <c r="U179" s="56">
        <f t="shared" si="14"/>
        <v>16591</v>
      </c>
      <c r="V179" s="42"/>
      <c r="W179" s="42"/>
      <c r="X179" s="42"/>
      <c r="Y179" s="42"/>
      <c r="Z179" s="42"/>
    </row>
    <row r="180" ht="15.75" customHeight="1" spans="1:26" x14ac:dyDescent="0.25">
      <c r="A180" s="42"/>
      <c r="B180" s="26"/>
      <c r="C180" s="29">
        <v>306</v>
      </c>
      <c r="D180" s="26" t="s">
        <v>380</v>
      </c>
      <c r="E180" s="26" t="s">
        <v>381</v>
      </c>
      <c r="F180" s="56">
        <v>1120</v>
      </c>
      <c r="G180" s="57"/>
      <c r="H180" s="26"/>
      <c r="I180" s="26"/>
      <c r="J180" s="26"/>
      <c r="K180" s="26"/>
      <c r="L180" s="26"/>
      <c r="M180" s="26"/>
      <c r="N180" s="26"/>
      <c r="O180" s="26"/>
      <c r="P180" s="26"/>
      <c r="Q180" s="26">
        <v>1120</v>
      </c>
      <c r="R180" s="26"/>
      <c r="S180" s="26"/>
      <c r="T180" s="37"/>
      <c r="U180" s="56">
        <f t="shared" si="14"/>
        <v>15471</v>
      </c>
      <c r="V180" s="42"/>
      <c r="W180" s="42"/>
      <c r="X180" s="42"/>
      <c r="Y180" s="42"/>
      <c r="Z180" s="42"/>
    </row>
    <row r="181" ht="15.75" customHeight="1" spans="1:26" x14ac:dyDescent="0.25">
      <c r="A181" s="42"/>
      <c r="B181" s="26"/>
      <c r="C181" s="29">
        <v>307</v>
      </c>
      <c r="D181" s="26" t="s">
        <v>41</v>
      </c>
      <c r="E181" s="26" t="s">
        <v>54</v>
      </c>
      <c r="F181" s="56">
        <v>14100</v>
      </c>
      <c r="G181" s="57"/>
      <c r="H181" s="26">
        <v>141</v>
      </c>
      <c r="I181" s="26">
        <v>100</v>
      </c>
      <c r="J181" s="26">
        <v>14100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37"/>
      <c r="U181" s="56">
        <f t="shared" si="14"/>
        <v>1371</v>
      </c>
      <c r="V181" s="42"/>
      <c r="W181" s="42"/>
      <c r="X181" s="42"/>
      <c r="Y181" s="42"/>
      <c r="Z181" s="42"/>
    </row>
    <row r="182" ht="15.75" customHeight="1" spans="1:26" x14ac:dyDescent="0.25">
      <c r="A182" s="42"/>
      <c r="B182" s="26" t="s">
        <v>382</v>
      </c>
      <c r="C182" s="26"/>
      <c r="D182" s="26" t="s">
        <v>274</v>
      </c>
      <c r="E182" s="26"/>
      <c r="F182" s="26"/>
      <c r="G182" s="5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37"/>
      <c r="U182" s="56">
        <f>U181-F182+60000</f>
        <v>61371</v>
      </c>
      <c r="V182" s="42"/>
      <c r="W182" s="42"/>
      <c r="X182" s="42"/>
      <c r="Y182" s="42"/>
      <c r="Z182" s="42"/>
    </row>
    <row r="183" ht="15.75" customHeight="1" spans="1:26" x14ac:dyDescent="0.25">
      <c r="A183" s="42"/>
      <c r="B183" s="26"/>
      <c r="C183" s="29">
        <v>308</v>
      </c>
      <c r="D183" s="26" t="s">
        <v>13</v>
      </c>
      <c r="E183" s="26" t="s">
        <v>104</v>
      </c>
      <c r="F183" s="56">
        <v>9000</v>
      </c>
      <c r="G183" s="5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>
        <v>9000</v>
      </c>
      <c r="S183" s="26"/>
      <c r="T183" s="37"/>
      <c r="U183" s="56">
        <f t="shared" ref="U183:U189" si="15">U182-F183</f>
        <v>52371</v>
      </c>
      <c r="V183" s="42"/>
      <c r="W183" s="42"/>
      <c r="X183" s="42"/>
      <c r="Y183" s="42"/>
      <c r="Z183" s="42"/>
    </row>
    <row r="184" ht="15.75" customHeight="1" spans="1:26" x14ac:dyDescent="0.25">
      <c r="A184" s="42"/>
      <c r="B184" s="26"/>
      <c r="C184" s="29">
        <v>309</v>
      </c>
      <c r="D184" s="26" t="s">
        <v>300</v>
      </c>
      <c r="E184" s="26" t="s">
        <v>383</v>
      </c>
      <c r="F184" s="56">
        <v>2500</v>
      </c>
      <c r="G184" s="57"/>
      <c r="H184" s="26"/>
      <c r="I184" s="26"/>
      <c r="J184" s="26"/>
      <c r="K184" s="26"/>
      <c r="L184" s="26">
        <v>2500</v>
      </c>
      <c r="M184" s="26"/>
      <c r="N184" s="26"/>
      <c r="O184" s="26"/>
      <c r="P184" s="26"/>
      <c r="Q184" s="26"/>
      <c r="R184" s="26"/>
      <c r="S184" s="26"/>
      <c r="T184" s="37"/>
      <c r="U184" s="56">
        <f t="shared" si="15"/>
        <v>49871</v>
      </c>
      <c r="V184" s="42"/>
      <c r="W184" s="42"/>
      <c r="X184" s="42"/>
      <c r="Y184" s="42"/>
      <c r="Z184" s="42"/>
    </row>
    <row r="185" ht="15.75" customHeight="1" spans="1:26" x14ac:dyDescent="0.25">
      <c r="A185" s="42"/>
      <c r="B185" s="26"/>
      <c r="C185" s="29">
        <v>310</v>
      </c>
      <c r="D185" s="26" t="s">
        <v>384</v>
      </c>
      <c r="E185" s="26" t="s">
        <v>385</v>
      </c>
      <c r="F185" s="29">
        <v>460</v>
      </c>
      <c r="G185" s="57"/>
      <c r="H185" s="26"/>
      <c r="I185" s="26"/>
      <c r="J185" s="26"/>
      <c r="K185" s="26"/>
      <c r="L185" s="26"/>
      <c r="M185" s="26"/>
      <c r="N185" s="26"/>
      <c r="O185" s="26"/>
      <c r="P185" s="26"/>
      <c r="Q185" s="26">
        <v>460</v>
      </c>
      <c r="R185" s="26"/>
      <c r="S185" s="26"/>
      <c r="T185" s="37"/>
      <c r="U185" s="56">
        <f t="shared" si="15"/>
        <v>49411</v>
      </c>
      <c r="V185" s="42"/>
      <c r="W185" s="42"/>
      <c r="X185" s="42"/>
      <c r="Y185" s="42"/>
      <c r="Z185" s="42"/>
    </row>
    <row r="186" ht="15.75" customHeight="1" spans="1:26" x14ac:dyDescent="0.25">
      <c r="A186" s="42"/>
      <c r="B186" s="26"/>
      <c r="C186" s="29">
        <v>311</v>
      </c>
      <c r="D186" s="26" t="s">
        <v>386</v>
      </c>
      <c r="E186" s="26" t="s">
        <v>268</v>
      </c>
      <c r="F186" s="29">
        <v>310</v>
      </c>
      <c r="G186" s="57"/>
      <c r="H186" s="26"/>
      <c r="I186" s="26"/>
      <c r="J186" s="26"/>
      <c r="K186" s="26"/>
      <c r="L186" s="26"/>
      <c r="M186" s="26"/>
      <c r="N186" s="26"/>
      <c r="O186" s="26">
        <v>310</v>
      </c>
      <c r="P186" s="26"/>
      <c r="Q186" s="26"/>
      <c r="R186" s="26"/>
      <c r="S186" s="26"/>
      <c r="T186" s="37"/>
      <c r="U186" s="56">
        <f t="shared" si="15"/>
        <v>49101</v>
      </c>
      <c r="V186" s="42"/>
      <c r="W186" s="42"/>
      <c r="X186" s="42"/>
      <c r="Y186" s="42"/>
      <c r="Z186" s="42"/>
    </row>
    <row r="187" ht="15.75" customHeight="1" spans="1:26" x14ac:dyDescent="0.25">
      <c r="A187" s="42"/>
      <c r="B187" s="26"/>
      <c r="C187" s="29">
        <v>312</v>
      </c>
      <c r="D187" s="26" t="s">
        <v>41</v>
      </c>
      <c r="E187" s="26" t="s">
        <v>54</v>
      </c>
      <c r="F187" s="56">
        <v>1700</v>
      </c>
      <c r="G187" s="57"/>
      <c r="H187" s="26">
        <v>17</v>
      </c>
      <c r="I187" s="26">
        <v>100</v>
      </c>
      <c r="J187" s="26">
        <v>1700</v>
      </c>
      <c r="K187" s="26"/>
      <c r="L187" s="26"/>
      <c r="M187" s="26"/>
      <c r="N187" s="26"/>
      <c r="O187" s="26"/>
      <c r="P187" s="26"/>
      <c r="Q187" s="26"/>
      <c r="R187" s="26"/>
      <c r="S187" s="26"/>
      <c r="T187" s="37"/>
      <c r="U187" s="56">
        <f t="shared" si="15"/>
        <v>47401</v>
      </c>
      <c r="V187" s="42"/>
      <c r="W187" s="42"/>
      <c r="X187" s="42"/>
      <c r="Y187" s="42"/>
      <c r="Z187" s="42"/>
    </row>
    <row r="188" ht="15.75" customHeight="1" spans="1:26" x14ac:dyDescent="0.25">
      <c r="A188" s="42"/>
      <c r="B188" s="26"/>
      <c r="C188" s="26"/>
      <c r="D188" s="26"/>
      <c r="E188" s="26"/>
      <c r="F188" s="26"/>
      <c r="G188" s="5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37"/>
      <c r="U188" s="56">
        <f t="shared" si="15"/>
        <v>47401</v>
      </c>
      <c r="V188" s="42"/>
      <c r="W188" s="42"/>
      <c r="X188" s="42"/>
      <c r="Y188" s="42"/>
      <c r="Z188" s="42"/>
    </row>
    <row r="189" ht="15.75" customHeight="1" spans="1:26" x14ac:dyDescent="0.25">
      <c r="A189" s="42"/>
      <c r="B189" s="42"/>
      <c r="C189" s="42"/>
      <c r="D189" s="42"/>
      <c r="E189" s="42"/>
      <c r="F189" s="42"/>
      <c r="G189" s="43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4"/>
      <c r="U189" s="56">
        <f t="shared" si="15"/>
        <v>47401</v>
      </c>
      <c r="V189" s="42"/>
      <c r="W189" s="42"/>
      <c r="X189" s="42"/>
      <c r="Y189" s="42"/>
      <c r="Z189" s="42"/>
    </row>
    <row r="190" ht="15.75" customHeight="1" spans="1:26" x14ac:dyDescent="0.25">
      <c r="A190" s="42"/>
      <c r="B190" s="42"/>
      <c r="C190" s="42"/>
      <c r="D190" s="42"/>
      <c r="E190" s="42"/>
      <c r="F190" s="42"/>
      <c r="G190" s="43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4"/>
      <c r="U190" s="42"/>
      <c r="V190" s="42"/>
      <c r="W190" s="42"/>
      <c r="X190" s="42"/>
      <c r="Y190" s="42"/>
      <c r="Z190" s="42"/>
    </row>
    <row r="191" ht="15.75" customHeight="1" spans="1:26" x14ac:dyDescent="0.25">
      <c r="A191" s="42"/>
      <c r="B191" s="42"/>
      <c r="C191" s="42"/>
      <c r="D191" s="42"/>
      <c r="E191" s="42"/>
      <c r="F191" s="42"/>
      <c r="G191" s="43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4"/>
      <c r="U191" s="42"/>
      <c r="V191" s="42"/>
      <c r="W191" s="42"/>
      <c r="X191" s="42"/>
      <c r="Y191" s="42"/>
      <c r="Z191" s="42"/>
    </row>
    <row r="192" ht="15.75" customHeight="1" spans="1:26" x14ac:dyDescent="0.25">
      <c r="A192" s="42"/>
      <c r="B192" s="42"/>
      <c r="C192" s="42"/>
      <c r="D192" s="42"/>
      <c r="E192" s="42"/>
      <c r="F192" s="42"/>
      <c r="G192" s="43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4"/>
      <c r="U192" s="42"/>
      <c r="V192" s="42"/>
      <c r="W192" s="42"/>
      <c r="X192" s="42"/>
      <c r="Y192" s="42"/>
      <c r="Z192" s="42"/>
    </row>
    <row r="193" ht="15.75" customHeight="1" spans="1:26" x14ac:dyDescent="0.25">
      <c r="A193" s="42"/>
      <c r="B193" s="42"/>
      <c r="C193" s="42"/>
      <c r="D193" s="42"/>
      <c r="E193" s="42"/>
      <c r="F193" s="42"/>
      <c r="G193" s="43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4"/>
      <c r="U193" s="42"/>
      <c r="V193" s="42"/>
      <c r="W193" s="42"/>
      <c r="X193" s="42"/>
      <c r="Y193" s="42"/>
      <c r="Z193" s="42"/>
    </row>
    <row r="194" ht="15.75" customHeight="1" spans="1:26" x14ac:dyDescent="0.25">
      <c r="A194" s="42"/>
      <c r="B194" s="42"/>
      <c r="C194" s="42"/>
      <c r="D194" s="42"/>
      <c r="E194" s="42"/>
      <c r="F194" s="42"/>
      <c r="G194" s="43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4"/>
      <c r="U194" s="42"/>
      <c r="V194" s="42"/>
      <c r="W194" s="42"/>
      <c r="X194" s="42"/>
      <c r="Y194" s="42"/>
      <c r="Z194" s="42"/>
    </row>
    <row r="195" ht="15.75" customHeight="1" spans="1:26" x14ac:dyDescent="0.25">
      <c r="A195" s="42"/>
      <c r="B195" s="42"/>
      <c r="C195" s="42"/>
      <c r="D195" s="42"/>
      <c r="E195" s="42"/>
      <c r="F195" s="42"/>
      <c r="G195" s="43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4"/>
      <c r="U195" s="42"/>
      <c r="V195" s="42"/>
      <c r="W195" s="42"/>
      <c r="X195" s="42"/>
      <c r="Y195" s="42"/>
      <c r="Z195" s="42"/>
    </row>
    <row r="196" ht="15.75" customHeight="1" spans="1:26" x14ac:dyDescent="0.25">
      <c r="A196" s="42"/>
      <c r="B196" s="42"/>
      <c r="C196" s="42"/>
      <c r="D196" s="42"/>
      <c r="E196" s="42"/>
      <c r="F196" s="42"/>
      <c r="G196" s="43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4"/>
      <c r="U196" s="42"/>
      <c r="V196" s="42"/>
      <c r="W196" s="42"/>
      <c r="X196" s="42"/>
      <c r="Y196" s="42"/>
      <c r="Z196" s="42"/>
    </row>
    <row r="197" ht="15.75" customHeight="1" spans="1:26" x14ac:dyDescent="0.25">
      <c r="A197" s="42"/>
      <c r="B197" s="42"/>
      <c r="C197" s="42"/>
      <c r="D197" s="42"/>
      <c r="E197" s="42"/>
      <c r="F197" s="42"/>
      <c r="G197" s="43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4"/>
      <c r="U197" s="42"/>
      <c r="V197" s="42"/>
      <c r="W197" s="42"/>
      <c r="X197" s="42"/>
      <c r="Y197" s="42"/>
      <c r="Z197" s="42"/>
    </row>
    <row r="198" ht="15.75" customHeight="1" spans="1:26" x14ac:dyDescent="0.25">
      <c r="A198" s="42"/>
      <c r="B198" s="42"/>
      <c r="C198" s="42"/>
      <c r="D198" s="42"/>
      <c r="E198" s="42"/>
      <c r="F198" s="42"/>
      <c r="G198" s="43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4"/>
      <c r="U198" s="42"/>
      <c r="V198" s="42"/>
      <c r="W198" s="42"/>
      <c r="X198" s="42"/>
      <c r="Y198" s="42"/>
      <c r="Z198" s="42"/>
    </row>
    <row r="199" ht="15.75" customHeight="1" spans="1:26" x14ac:dyDescent="0.25">
      <c r="A199" s="42"/>
      <c r="B199" s="42"/>
      <c r="C199" s="42"/>
      <c r="D199" s="42"/>
      <c r="E199" s="42"/>
      <c r="F199" s="42"/>
      <c r="G199" s="43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4"/>
      <c r="U199" s="42"/>
      <c r="V199" s="42"/>
      <c r="W199" s="42"/>
      <c r="X199" s="42"/>
      <c r="Y199" s="42"/>
      <c r="Z199" s="42"/>
    </row>
    <row r="200" ht="15.75" customHeight="1" spans="1:26" x14ac:dyDescent="0.25">
      <c r="A200" s="42"/>
      <c r="B200" s="42"/>
      <c r="C200" s="42"/>
      <c r="D200" s="42"/>
      <c r="E200" s="42"/>
      <c r="F200" s="42"/>
      <c r="G200" s="43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4"/>
      <c r="U200" s="42"/>
      <c r="V200" s="42"/>
      <c r="W200" s="42"/>
      <c r="X200" s="42"/>
      <c r="Y200" s="42"/>
      <c r="Z200" s="42"/>
    </row>
    <row r="201" ht="15.75" customHeight="1" spans="1:26" x14ac:dyDescent="0.25">
      <c r="A201" s="42"/>
      <c r="B201" s="42"/>
      <c r="C201" s="42"/>
      <c r="D201" s="42"/>
      <c r="E201" s="42"/>
      <c r="F201" s="42"/>
      <c r="G201" s="43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4"/>
      <c r="U201" s="42"/>
      <c r="V201" s="42"/>
      <c r="W201" s="42"/>
      <c r="X201" s="42"/>
      <c r="Y201" s="42"/>
      <c r="Z201" s="42"/>
    </row>
    <row r="202" ht="15.75" customHeight="1" spans="1:26" x14ac:dyDescent="0.25">
      <c r="A202" s="42"/>
      <c r="B202" s="42"/>
      <c r="C202" s="42"/>
      <c r="D202" s="42"/>
      <c r="E202" s="42"/>
      <c r="F202" s="42"/>
      <c r="G202" s="43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4"/>
      <c r="U202" s="42"/>
      <c r="V202" s="42"/>
      <c r="W202" s="42"/>
      <c r="X202" s="42"/>
      <c r="Y202" s="42"/>
      <c r="Z202" s="42"/>
    </row>
    <row r="203" ht="15.75" customHeight="1" spans="1:26" x14ac:dyDescent="0.25">
      <c r="A203" s="42"/>
      <c r="B203" s="42"/>
      <c r="C203" s="42"/>
      <c r="D203" s="42"/>
      <c r="E203" s="42"/>
      <c r="F203" s="42"/>
      <c r="G203" s="43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4"/>
      <c r="U203" s="42"/>
      <c r="V203" s="42"/>
      <c r="W203" s="42"/>
      <c r="X203" s="42"/>
      <c r="Y203" s="42"/>
      <c r="Z203" s="42"/>
    </row>
    <row r="204" ht="15.75" customHeight="1" spans="1:26" x14ac:dyDescent="0.25">
      <c r="A204" s="42"/>
      <c r="B204" s="42"/>
      <c r="C204" s="42"/>
      <c r="D204" s="42"/>
      <c r="E204" s="42"/>
      <c r="F204" s="42"/>
      <c r="G204" s="43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4"/>
      <c r="U204" s="42"/>
      <c r="V204" s="42"/>
      <c r="W204" s="42"/>
      <c r="X204" s="42"/>
      <c r="Y204" s="42"/>
      <c r="Z204" s="42"/>
    </row>
    <row r="205" ht="15.75" customHeight="1" spans="1:26" x14ac:dyDescent="0.25">
      <c r="A205" s="42"/>
      <c r="B205" s="42"/>
      <c r="C205" s="42"/>
      <c r="D205" s="42"/>
      <c r="E205" s="42"/>
      <c r="F205" s="42"/>
      <c r="G205" s="43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4"/>
      <c r="U205" s="42"/>
      <c r="V205" s="42"/>
      <c r="W205" s="42"/>
      <c r="X205" s="42"/>
      <c r="Y205" s="42"/>
      <c r="Z205" s="42"/>
    </row>
    <row r="206" ht="15.75" customHeight="1" spans="1:26" x14ac:dyDescent="0.25">
      <c r="A206" s="42"/>
      <c r="B206" s="42"/>
      <c r="C206" s="42"/>
      <c r="D206" s="42"/>
      <c r="E206" s="42"/>
      <c r="F206" s="42"/>
      <c r="G206" s="43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4"/>
      <c r="U206" s="42"/>
      <c r="V206" s="42"/>
      <c r="W206" s="42"/>
      <c r="X206" s="42"/>
      <c r="Y206" s="42"/>
      <c r="Z206" s="42"/>
    </row>
    <row r="207" ht="15.75" customHeight="1" spans="1:26" x14ac:dyDescent="0.25">
      <c r="A207" s="42"/>
      <c r="B207" s="42"/>
      <c r="C207" s="42"/>
      <c r="D207" s="42"/>
      <c r="E207" s="42"/>
      <c r="F207" s="42"/>
      <c r="G207" s="43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4"/>
      <c r="U207" s="42"/>
      <c r="V207" s="42"/>
      <c r="W207" s="42"/>
      <c r="X207" s="42"/>
      <c r="Y207" s="42"/>
      <c r="Z207" s="42"/>
    </row>
    <row r="208" ht="15.75" customHeight="1" spans="1:26" x14ac:dyDescent="0.25">
      <c r="A208" s="42"/>
      <c r="B208" s="42"/>
      <c r="C208" s="42"/>
      <c r="D208" s="42"/>
      <c r="E208" s="42"/>
      <c r="F208" s="42"/>
      <c r="G208" s="43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4"/>
      <c r="U208" s="42"/>
      <c r="V208" s="42"/>
      <c r="W208" s="42"/>
      <c r="X208" s="42"/>
      <c r="Y208" s="42"/>
      <c r="Z208" s="42"/>
    </row>
    <row r="209" ht="15.75" customHeight="1" spans="1:26" x14ac:dyDescent="0.25">
      <c r="A209" s="42"/>
      <c r="B209" s="42"/>
      <c r="C209" s="42"/>
      <c r="D209" s="42"/>
      <c r="E209" s="42"/>
      <c r="F209" s="42"/>
      <c r="G209" s="43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4"/>
      <c r="U209" s="42"/>
      <c r="V209" s="42"/>
      <c r="W209" s="42"/>
      <c r="X209" s="42"/>
      <c r="Y209" s="42"/>
      <c r="Z209" s="42"/>
    </row>
    <row r="210" ht="15.75" customHeight="1" spans="1:26" x14ac:dyDescent="0.25">
      <c r="A210" s="42"/>
      <c r="B210" s="42"/>
      <c r="C210" s="42"/>
      <c r="D210" s="42"/>
      <c r="E210" s="42"/>
      <c r="F210" s="42"/>
      <c r="G210" s="43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4"/>
      <c r="U210" s="42"/>
      <c r="V210" s="42"/>
      <c r="W210" s="42"/>
      <c r="X210" s="42"/>
      <c r="Y210" s="42"/>
      <c r="Z210" s="42"/>
    </row>
    <row r="211" ht="15.75" customHeight="1" spans="1:26" x14ac:dyDescent="0.25">
      <c r="A211" s="42"/>
      <c r="B211" s="42"/>
      <c r="C211" s="42"/>
      <c r="D211" s="42"/>
      <c r="E211" s="42"/>
      <c r="F211" s="42"/>
      <c r="G211" s="4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4"/>
      <c r="U211" s="42"/>
      <c r="V211" s="42"/>
      <c r="W211" s="42"/>
      <c r="X211" s="42"/>
      <c r="Y211" s="42"/>
      <c r="Z211" s="42"/>
    </row>
    <row r="212" ht="15.75" customHeight="1" spans="1:26" x14ac:dyDescent="0.25">
      <c r="A212" s="42"/>
      <c r="B212" s="42"/>
      <c r="C212" s="42"/>
      <c r="D212" s="42"/>
      <c r="E212" s="42"/>
      <c r="F212" s="42"/>
      <c r="G212" s="43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4"/>
      <c r="U212" s="42"/>
      <c r="V212" s="42"/>
      <c r="W212" s="42"/>
      <c r="X212" s="42"/>
      <c r="Y212" s="42"/>
      <c r="Z212" s="42"/>
    </row>
    <row r="213" ht="15.75" customHeight="1" spans="1:26" x14ac:dyDescent="0.25">
      <c r="A213" s="42"/>
      <c r="B213" s="42"/>
      <c r="C213" s="42"/>
      <c r="D213" s="42"/>
      <c r="E213" s="42"/>
      <c r="F213" s="42"/>
      <c r="G213" s="43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4"/>
      <c r="U213" s="42"/>
      <c r="V213" s="42"/>
      <c r="W213" s="42"/>
      <c r="X213" s="42"/>
      <c r="Y213" s="42"/>
      <c r="Z213" s="42"/>
    </row>
    <row r="214" ht="15.75" customHeight="1" spans="1:26" x14ac:dyDescent="0.25">
      <c r="A214" s="42"/>
      <c r="B214" s="42"/>
      <c r="C214" s="42"/>
      <c r="D214" s="42"/>
      <c r="E214" s="42"/>
      <c r="F214" s="42"/>
      <c r="G214" s="43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4"/>
      <c r="U214" s="42"/>
      <c r="V214" s="42"/>
      <c r="W214" s="42"/>
      <c r="X214" s="42"/>
      <c r="Y214" s="42"/>
      <c r="Z214" s="42"/>
    </row>
    <row r="215" ht="15.75" customHeight="1" spans="1:26" x14ac:dyDescent="0.25">
      <c r="A215" s="42"/>
      <c r="B215" s="42"/>
      <c r="C215" s="42"/>
      <c r="D215" s="42"/>
      <c r="E215" s="42"/>
      <c r="F215" s="42"/>
      <c r="G215" s="43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4"/>
      <c r="U215" s="42"/>
      <c r="V215" s="42"/>
      <c r="W215" s="42"/>
      <c r="X215" s="42"/>
      <c r="Y215" s="42"/>
      <c r="Z215" s="42"/>
    </row>
    <row r="216" ht="15.75" customHeight="1" spans="1:26" x14ac:dyDescent="0.25">
      <c r="A216" s="42"/>
      <c r="B216" s="42"/>
      <c r="C216" s="42"/>
      <c r="D216" s="42"/>
      <c r="E216" s="42"/>
      <c r="F216" s="42"/>
      <c r="G216" s="43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4"/>
      <c r="U216" s="42"/>
      <c r="V216" s="42"/>
      <c r="W216" s="42"/>
      <c r="X216" s="42"/>
      <c r="Y216" s="42"/>
      <c r="Z216" s="42"/>
    </row>
    <row r="217" ht="15.75" customHeight="1" spans="1:26" x14ac:dyDescent="0.25">
      <c r="A217" s="42"/>
      <c r="B217" s="42"/>
      <c r="C217" s="42"/>
      <c r="D217" s="42"/>
      <c r="E217" s="42"/>
      <c r="F217" s="42"/>
      <c r="G217" s="43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4"/>
      <c r="U217" s="42"/>
      <c r="V217" s="42"/>
      <c r="W217" s="42"/>
      <c r="X217" s="42"/>
      <c r="Y217" s="42"/>
      <c r="Z217" s="42"/>
    </row>
    <row r="218" ht="15.75" customHeight="1" spans="1:26" x14ac:dyDescent="0.25">
      <c r="A218" s="42"/>
      <c r="B218" s="42"/>
      <c r="C218" s="42"/>
      <c r="D218" s="42"/>
      <c r="E218" s="42"/>
      <c r="F218" s="42"/>
      <c r="G218" s="43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4"/>
      <c r="U218" s="42"/>
      <c r="V218" s="42"/>
      <c r="W218" s="42"/>
      <c r="X218" s="42"/>
      <c r="Y218" s="42"/>
      <c r="Z218" s="42"/>
    </row>
    <row r="219" ht="15.75" customHeight="1" spans="1:26" x14ac:dyDescent="0.25">
      <c r="A219" s="42"/>
      <c r="B219" s="42"/>
      <c r="C219" s="42"/>
      <c r="D219" s="42"/>
      <c r="E219" s="42"/>
      <c r="F219" s="42"/>
      <c r="G219" s="43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4"/>
      <c r="U219" s="42"/>
      <c r="V219" s="42"/>
      <c r="W219" s="42"/>
      <c r="X219" s="42"/>
      <c r="Y219" s="42"/>
      <c r="Z219" s="42"/>
    </row>
    <row r="220" ht="15.75" customHeight="1" spans="1:26" x14ac:dyDescent="0.25">
      <c r="A220" s="42"/>
      <c r="B220" s="42"/>
      <c r="C220" s="42"/>
      <c r="D220" s="42"/>
      <c r="E220" s="42"/>
      <c r="F220" s="42"/>
      <c r="G220" s="43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4"/>
      <c r="U220" s="42"/>
      <c r="V220" s="42"/>
      <c r="W220" s="42"/>
      <c r="X220" s="42"/>
      <c r="Y220" s="42"/>
      <c r="Z220" s="42"/>
    </row>
    <row r="221" ht="15.75" customHeight="1" spans="1:26" x14ac:dyDescent="0.25">
      <c r="A221" s="42"/>
      <c r="B221" s="42"/>
      <c r="C221" s="42"/>
      <c r="D221" s="42"/>
      <c r="E221" s="42"/>
      <c r="F221" s="42"/>
      <c r="G221" s="43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4"/>
      <c r="U221" s="42"/>
      <c r="V221" s="42"/>
      <c r="W221" s="42"/>
      <c r="X221" s="42"/>
      <c r="Y221" s="42"/>
      <c r="Z221" s="42"/>
    </row>
    <row r="222" ht="15.75" customHeight="1" spans="1:26" x14ac:dyDescent="0.25">
      <c r="A222" s="42"/>
      <c r="B222" s="42"/>
      <c r="C222" s="42"/>
      <c r="D222" s="42"/>
      <c r="E222" s="42"/>
      <c r="F222" s="42"/>
      <c r="G222" s="43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4"/>
      <c r="U222" s="42"/>
      <c r="V222" s="42"/>
      <c r="W222" s="42"/>
      <c r="X222" s="42"/>
      <c r="Y222" s="42"/>
      <c r="Z222" s="42"/>
    </row>
    <row r="223" ht="15.75" customHeight="1" spans="1:26" x14ac:dyDescent="0.25">
      <c r="A223" s="42"/>
      <c r="B223" s="42"/>
      <c r="C223" s="42"/>
      <c r="D223" s="42"/>
      <c r="E223" s="42"/>
      <c r="F223" s="42"/>
      <c r="G223" s="43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4"/>
      <c r="U223" s="42"/>
      <c r="V223" s="42"/>
      <c r="W223" s="42"/>
      <c r="X223" s="42"/>
      <c r="Y223" s="42"/>
      <c r="Z223" s="42"/>
    </row>
    <row r="224" ht="15.75" customHeight="1" spans="1:26" x14ac:dyDescent="0.25">
      <c r="A224" s="42"/>
      <c r="B224" s="42"/>
      <c r="C224" s="42"/>
      <c r="D224" s="42"/>
      <c r="E224" s="42"/>
      <c r="F224" s="42"/>
      <c r="G224" s="43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4"/>
      <c r="U224" s="42"/>
      <c r="V224" s="42"/>
      <c r="W224" s="42"/>
      <c r="X224" s="42"/>
      <c r="Y224" s="42"/>
      <c r="Z224" s="42"/>
    </row>
    <row r="225" ht="15.75" customHeight="1" spans="1:26" x14ac:dyDescent="0.25">
      <c r="A225" s="42"/>
      <c r="B225" s="42"/>
      <c r="C225" s="42"/>
      <c r="D225" s="42"/>
      <c r="E225" s="42"/>
      <c r="F225" s="42"/>
      <c r="G225" s="43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4"/>
      <c r="U225" s="42"/>
      <c r="V225" s="42"/>
      <c r="W225" s="42"/>
      <c r="X225" s="42"/>
      <c r="Y225" s="42"/>
      <c r="Z225" s="42"/>
    </row>
    <row r="226" ht="15.75" customHeight="1" spans="1:26" x14ac:dyDescent="0.25">
      <c r="A226" s="42"/>
      <c r="B226" s="42"/>
      <c r="C226" s="42"/>
      <c r="D226" s="42"/>
      <c r="E226" s="42"/>
      <c r="F226" s="42"/>
      <c r="G226" s="43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4"/>
      <c r="U226" s="42"/>
      <c r="V226" s="42"/>
      <c r="W226" s="42"/>
      <c r="X226" s="42"/>
      <c r="Y226" s="42"/>
      <c r="Z226" s="42"/>
    </row>
    <row r="227" ht="15.75" customHeight="1" spans="1:26" x14ac:dyDescent="0.25">
      <c r="A227" s="42"/>
      <c r="B227" s="42"/>
      <c r="C227" s="42"/>
      <c r="D227" s="42"/>
      <c r="E227" s="42"/>
      <c r="F227" s="42"/>
      <c r="G227" s="43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4"/>
      <c r="U227" s="42"/>
      <c r="V227" s="42"/>
      <c r="W227" s="42"/>
      <c r="X227" s="42"/>
      <c r="Y227" s="42"/>
      <c r="Z227" s="42"/>
    </row>
    <row r="228" ht="15.75" customHeight="1" spans="1:26" x14ac:dyDescent="0.25">
      <c r="A228" s="42"/>
      <c r="B228" s="42"/>
      <c r="C228" s="42"/>
      <c r="D228" s="42"/>
      <c r="E228" s="42"/>
      <c r="F228" s="42"/>
      <c r="G228" s="43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4"/>
      <c r="U228" s="42"/>
      <c r="V228" s="42"/>
      <c r="W228" s="42"/>
      <c r="X228" s="42"/>
      <c r="Y228" s="42"/>
      <c r="Z228" s="42"/>
    </row>
    <row r="229" ht="15.75" customHeight="1" spans="1:26" x14ac:dyDescent="0.25">
      <c r="A229" s="42"/>
      <c r="B229" s="42"/>
      <c r="C229" s="42"/>
      <c r="D229" s="42"/>
      <c r="E229" s="42"/>
      <c r="F229" s="42"/>
      <c r="G229" s="43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4"/>
      <c r="U229" s="42"/>
      <c r="V229" s="42"/>
      <c r="W229" s="42"/>
      <c r="X229" s="42"/>
      <c r="Y229" s="42"/>
      <c r="Z229" s="42"/>
    </row>
    <row r="230" ht="15.75" customHeight="1" spans="1:26" x14ac:dyDescent="0.25">
      <c r="A230" s="42"/>
      <c r="B230" s="42"/>
      <c r="C230" s="42"/>
      <c r="D230" s="42"/>
      <c r="E230" s="42"/>
      <c r="F230" s="42"/>
      <c r="G230" s="43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4"/>
      <c r="U230" s="42"/>
      <c r="V230" s="42"/>
      <c r="W230" s="42"/>
      <c r="X230" s="42"/>
      <c r="Y230" s="42"/>
      <c r="Z230" s="42"/>
    </row>
    <row r="231" ht="15.75" customHeight="1" spans="1:26" x14ac:dyDescent="0.25">
      <c r="A231" s="42"/>
      <c r="B231" s="42"/>
      <c r="C231" s="42"/>
      <c r="D231" s="42"/>
      <c r="E231" s="42"/>
      <c r="F231" s="42"/>
      <c r="G231" s="43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4"/>
      <c r="U231" s="42"/>
      <c r="V231" s="42"/>
      <c r="W231" s="42"/>
      <c r="X231" s="42"/>
      <c r="Y231" s="42"/>
      <c r="Z231" s="42"/>
    </row>
    <row r="232" ht="15.75" customHeight="1" spans="1:26" x14ac:dyDescent="0.25">
      <c r="A232" s="42"/>
      <c r="B232" s="42"/>
      <c r="C232" s="42"/>
      <c r="D232" s="42"/>
      <c r="E232" s="42"/>
      <c r="F232" s="42"/>
      <c r="G232" s="43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4"/>
      <c r="U232" s="42"/>
      <c r="V232" s="42"/>
      <c r="W232" s="42"/>
      <c r="X232" s="42"/>
      <c r="Y232" s="42"/>
      <c r="Z232" s="42"/>
    </row>
    <row r="233" ht="15.75" customHeight="1" spans="1:26" x14ac:dyDescent="0.25">
      <c r="A233" s="42"/>
      <c r="B233" s="42"/>
      <c r="C233" s="42"/>
      <c r="D233" s="42"/>
      <c r="E233" s="42"/>
      <c r="F233" s="42"/>
      <c r="G233" s="43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4"/>
      <c r="U233" s="42"/>
      <c r="V233" s="42"/>
      <c r="W233" s="42"/>
      <c r="X233" s="42"/>
      <c r="Y233" s="42"/>
      <c r="Z233" s="42"/>
    </row>
    <row r="234" ht="15.75" customHeight="1" spans="1:26" x14ac:dyDescent="0.25">
      <c r="A234" s="42"/>
      <c r="B234" s="42"/>
      <c r="C234" s="42"/>
      <c r="D234" s="42"/>
      <c r="E234" s="42"/>
      <c r="F234" s="42"/>
      <c r="G234" s="43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4"/>
      <c r="U234" s="42"/>
      <c r="V234" s="42"/>
      <c r="W234" s="42"/>
      <c r="X234" s="42"/>
      <c r="Y234" s="42"/>
      <c r="Z234" s="42"/>
    </row>
    <row r="235" ht="15.75" customHeight="1" spans="1:26" x14ac:dyDescent="0.25">
      <c r="A235" s="42"/>
      <c r="B235" s="42"/>
      <c r="C235" s="42"/>
      <c r="D235" s="42"/>
      <c r="E235" s="42"/>
      <c r="F235" s="42"/>
      <c r="G235" s="43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4"/>
      <c r="U235" s="42"/>
      <c r="V235" s="42"/>
      <c r="W235" s="42"/>
      <c r="X235" s="42"/>
      <c r="Y235" s="42"/>
      <c r="Z235" s="42"/>
    </row>
    <row r="236" ht="15.75" customHeight="1" spans="1:26" x14ac:dyDescent="0.25">
      <c r="A236" s="42"/>
      <c r="B236" s="42"/>
      <c r="C236" s="42"/>
      <c r="D236" s="42"/>
      <c r="E236" s="42"/>
      <c r="F236" s="42"/>
      <c r="G236" s="43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4"/>
      <c r="U236" s="42"/>
      <c r="V236" s="42"/>
      <c r="W236" s="42"/>
      <c r="X236" s="42"/>
      <c r="Y236" s="42"/>
      <c r="Z236" s="42"/>
    </row>
    <row r="237" ht="15.75" customHeight="1" spans="1:26" x14ac:dyDescent="0.25">
      <c r="A237" s="42"/>
      <c r="B237" s="42"/>
      <c r="C237" s="42"/>
      <c r="D237" s="42"/>
      <c r="E237" s="42"/>
      <c r="F237" s="42"/>
      <c r="G237" s="43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4"/>
      <c r="U237" s="42"/>
      <c r="V237" s="42"/>
      <c r="W237" s="42"/>
      <c r="X237" s="42"/>
      <c r="Y237" s="42"/>
      <c r="Z237" s="42"/>
    </row>
    <row r="238" ht="15.75" customHeight="1" spans="1:26" x14ac:dyDescent="0.25">
      <c r="A238" s="42"/>
      <c r="B238" s="42"/>
      <c r="C238" s="42"/>
      <c r="D238" s="42"/>
      <c r="E238" s="42"/>
      <c r="F238" s="42"/>
      <c r="G238" s="43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4"/>
      <c r="U238" s="42"/>
      <c r="V238" s="42"/>
      <c r="W238" s="42"/>
      <c r="X238" s="42"/>
      <c r="Y238" s="42"/>
      <c r="Z238" s="42"/>
    </row>
    <row r="239" ht="15.75" customHeight="1" spans="1:26" x14ac:dyDescent="0.25">
      <c r="A239" s="42"/>
      <c r="B239" s="42"/>
      <c r="C239" s="42"/>
      <c r="D239" s="42"/>
      <c r="E239" s="42"/>
      <c r="F239" s="42"/>
      <c r="G239" s="43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4"/>
      <c r="U239" s="42"/>
      <c r="V239" s="42"/>
      <c r="W239" s="42"/>
      <c r="X239" s="42"/>
      <c r="Y239" s="42"/>
      <c r="Z239" s="42"/>
    </row>
    <row r="240" ht="15.75" customHeight="1" spans="1:26" x14ac:dyDescent="0.25">
      <c r="A240" s="42"/>
      <c r="B240" s="42"/>
      <c r="C240" s="42"/>
      <c r="D240" s="42"/>
      <c r="E240" s="42"/>
      <c r="F240" s="42"/>
      <c r="G240" s="43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4"/>
      <c r="U240" s="42"/>
      <c r="V240" s="42"/>
      <c r="W240" s="42"/>
      <c r="X240" s="42"/>
      <c r="Y240" s="42"/>
      <c r="Z240" s="42"/>
    </row>
    <row r="241" ht="15.75" customHeight="1" spans="1:26" x14ac:dyDescent="0.25">
      <c r="A241" s="42"/>
      <c r="B241" s="42"/>
      <c r="C241" s="42"/>
      <c r="D241" s="42"/>
      <c r="E241" s="42"/>
      <c r="F241" s="42"/>
      <c r="G241" s="43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4"/>
      <c r="U241" s="42"/>
      <c r="V241" s="42"/>
      <c r="W241" s="42"/>
      <c r="X241" s="42"/>
      <c r="Y241" s="42"/>
      <c r="Z241" s="42"/>
    </row>
    <row r="242" ht="15.75" customHeight="1" spans="1:26" x14ac:dyDescent="0.25">
      <c r="A242" s="42"/>
      <c r="B242" s="42"/>
      <c r="C242" s="42"/>
      <c r="D242" s="42"/>
      <c r="E242" s="42"/>
      <c r="F242" s="42"/>
      <c r="G242" s="43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4"/>
      <c r="U242" s="42"/>
      <c r="V242" s="42"/>
      <c r="W242" s="42"/>
      <c r="X242" s="42"/>
      <c r="Y242" s="42"/>
      <c r="Z242" s="42"/>
    </row>
    <row r="243" ht="15.75" customHeight="1" spans="1:26" x14ac:dyDescent="0.25">
      <c r="A243" s="42"/>
      <c r="B243" s="42"/>
      <c r="C243" s="42"/>
      <c r="D243" s="42"/>
      <c r="E243" s="42"/>
      <c r="F243" s="42"/>
      <c r="G243" s="43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4"/>
      <c r="U243" s="42"/>
      <c r="V243" s="42"/>
      <c r="W243" s="42"/>
      <c r="X243" s="42"/>
      <c r="Y243" s="42"/>
      <c r="Z243" s="42"/>
    </row>
    <row r="244" ht="15.75" customHeight="1" spans="1:26" x14ac:dyDescent="0.25">
      <c r="A244" s="42"/>
      <c r="B244" s="42"/>
      <c r="C244" s="42"/>
      <c r="D244" s="42"/>
      <c r="E244" s="42"/>
      <c r="F244" s="42"/>
      <c r="G244" s="43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4"/>
      <c r="U244" s="42"/>
      <c r="V244" s="42"/>
      <c r="W244" s="42"/>
      <c r="X244" s="42"/>
      <c r="Y244" s="42"/>
      <c r="Z244" s="42"/>
    </row>
    <row r="245" ht="15.75" customHeight="1" spans="1:26" x14ac:dyDescent="0.25">
      <c r="A245" s="42"/>
      <c r="B245" s="42"/>
      <c r="C245" s="42"/>
      <c r="D245" s="42"/>
      <c r="E245" s="42"/>
      <c r="F245" s="42"/>
      <c r="G245" s="43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4"/>
      <c r="U245" s="42"/>
      <c r="V245" s="42"/>
      <c r="W245" s="42"/>
      <c r="X245" s="42"/>
      <c r="Y245" s="42"/>
      <c r="Z245" s="42"/>
    </row>
    <row r="246" ht="15.75" customHeight="1" spans="1:26" x14ac:dyDescent="0.25">
      <c r="A246" s="42"/>
      <c r="B246" s="42"/>
      <c r="C246" s="42"/>
      <c r="D246" s="42"/>
      <c r="E246" s="42"/>
      <c r="F246" s="42"/>
      <c r="G246" s="43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4"/>
      <c r="U246" s="42"/>
      <c r="V246" s="42"/>
      <c r="W246" s="42"/>
      <c r="X246" s="42"/>
      <c r="Y246" s="42"/>
      <c r="Z246" s="42"/>
    </row>
    <row r="247" ht="15.75" customHeight="1" spans="1:26" x14ac:dyDescent="0.25">
      <c r="A247" s="42"/>
      <c r="B247" s="42"/>
      <c r="C247" s="42"/>
      <c r="D247" s="42"/>
      <c r="E247" s="42"/>
      <c r="F247" s="42"/>
      <c r="G247" s="43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4"/>
      <c r="U247" s="42"/>
      <c r="V247" s="42"/>
      <c r="W247" s="42"/>
      <c r="X247" s="42"/>
      <c r="Y247" s="42"/>
      <c r="Z247" s="42"/>
    </row>
    <row r="248" ht="15.75" customHeight="1" spans="1:26" x14ac:dyDescent="0.25">
      <c r="A248" s="42"/>
      <c r="B248" s="42"/>
      <c r="C248" s="42"/>
      <c r="D248" s="42"/>
      <c r="E248" s="42"/>
      <c r="F248" s="42"/>
      <c r="G248" s="43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4"/>
      <c r="U248" s="42"/>
      <c r="V248" s="42"/>
      <c r="W248" s="42"/>
      <c r="X248" s="42"/>
      <c r="Y248" s="42"/>
      <c r="Z248" s="42"/>
    </row>
    <row r="249" ht="15.75" customHeight="1" spans="1:26" x14ac:dyDescent="0.25">
      <c r="A249" s="42"/>
      <c r="B249" s="42"/>
      <c r="C249" s="42"/>
      <c r="D249" s="42"/>
      <c r="E249" s="42"/>
      <c r="F249" s="42"/>
      <c r="G249" s="43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4"/>
      <c r="U249" s="42"/>
      <c r="V249" s="42"/>
      <c r="W249" s="42"/>
      <c r="X249" s="42"/>
      <c r="Y249" s="42"/>
      <c r="Z249" s="42"/>
    </row>
    <row r="250" ht="15.75" customHeight="1" spans="1:26" x14ac:dyDescent="0.25">
      <c r="A250" s="42"/>
      <c r="B250" s="42"/>
      <c r="C250" s="42"/>
      <c r="D250" s="42"/>
      <c r="E250" s="42"/>
      <c r="F250" s="42"/>
      <c r="G250" s="43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4"/>
      <c r="U250" s="42"/>
      <c r="V250" s="42"/>
      <c r="W250" s="42"/>
      <c r="X250" s="42"/>
      <c r="Y250" s="42"/>
      <c r="Z250" s="42"/>
    </row>
    <row r="251" ht="15.75" customHeight="1" spans="1:26" x14ac:dyDescent="0.25">
      <c r="A251" s="42"/>
      <c r="B251" s="42"/>
      <c r="C251" s="42"/>
      <c r="D251" s="42"/>
      <c r="E251" s="42"/>
      <c r="F251" s="42"/>
      <c r="G251" s="43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4"/>
      <c r="U251" s="42"/>
      <c r="V251" s="42"/>
      <c r="W251" s="42"/>
      <c r="X251" s="42"/>
      <c r="Y251" s="42"/>
      <c r="Z251" s="42"/>
    </row>
    <row r="252" ht="15.75" customHeight="1" spans="1:26" x14ac:dyDescent="0.25">
      <c r="A252" s="42"/>
      <c r="B252" s="42"/>
      <c r="C252" s="42"/>
      <c r="D252" s="42"/>
      <c r="E252" s="42"/>
      <c r="F252" s="42"/>
      <c r="G252" s="43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4"/>
      <c r="U252" s="42"/>
      <c r="V252" s="42"/>
      <c r="W252" s="42"/>
      <c r="X252" s="42"/>
      <c r="Y252" s="42"/>
      <c r="Z252" s="42"/>
    </row>
    <row r="253" ht="15.75" customHeight="1" spans="1:26" x14ac:dyDescent="0.25">
      <c r="A253" s="42"/>
      <c r="B253" s="42"/>
      <c r="C253" s="42"/>
      <c r="D253" s="42"/>
      <c r="E253" s="42"/>
      <c r="F253" s="42"/>
      <c r="G253" s="43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4"/>
      <c r="U253" s="42"/>
      <c r="V253" s="42"/>
      <c r="W253" s="42"/>
      <c r="X253" s="42"/>
      <c r="Y253" s="42"/>
      <c r="Z253" s="42"/>
    </row>
    <row r="254" ht="15.75" customHeight="1" spans="1:26" x14ac:dyDescent="0.25">
      <c r="A254" s="42"/>
      <c r="B254" s="42"/>
      <c r="C254" s="42"/>
      <c r="D254" s="42"/>
      <c r="E254" s="42"/>
      <c r="F254" s="42"/>
      <c r="G254" s="43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4"/>
      <c r="U254" s="42"/>
      <c r="V254" s="42"/>
      <c r="W254" s="42"/>
      <c r="X254" s="42"/>
      <c r="Y254" s="42"/>
      <c r="Z254" s="42"/>
    </row>
    <row r="255" ht="15.75" customHeight="1" spans="1:26" x14ac:dyDescent="0.25">
      <c r="A255" s="42"/>
      <c r="B255" s="42"/>
      <c r="C255" s="42"/>
      <c r="D255" s="42"/>
      <c r="E255" s="42"/>
      <c r="F255" s="42"/>
      <c r="G255" s="43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4"/>
      <c r="U255" s="42"/>
      <c r="V255" s="42"/>
      <c r="W255" s="42"/>
      <c r="X255" s="42"/>
      <c r="Y255" s="42"/>
      <c r="Z255" s="42"/>
    </row>
    <row r="256" ht="15.75" customHeight="1" spans="1:26" x14ac:dyDescent="0.25">
      <c r="A256" s="42"/>
      <c r="B256" s="42"/>
      <c r="C256" s="42"/>
      <c r="D256" s="42"/>
      <c r="E256" s="42"/>
      <c r="F256" s="42"/>
      <c r="G256" s="43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4"/>
      <c r="U256" s="42"/>
      <c r="V256" s="42"/>
      <c r="W256" s="42"/>
      <c r="X256" s="42"/>
      <c r="Y256" s="42"/>
      <c r="Z256" s="42"/>
    </row>
    <row r="257" ht="15.75" customHeight="1" spans="1:26" x14ac:dyDescent="0.25">
      <c r="A257" s="42"/>
      <c r="B257" s="42"/>
      <c r="C257" s="42"/>
      <c r="D257" s="42"/>
      <c r="E257" s="42"/>
      <c r="F257" s="42"/>
      <c r="G257" s="43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4"/>
      <c r="U257" s="42"/>
      <c r="V257" s="42"/>
      <c r="W257" s="42"/>
      <c r="X257" s="42"/>
      <c r="Y257" s="42"/>
      <c r="Z257" s="42"/>
    </row>
    <row r="258" ht="15.75" customHeight="1" spans="1:26" x14ac:dyDescent="0.25">
      <c r="A258" s="42"/>
      <c r="B258" s="42"/>
      <c r="C258" s="42"/>
      <c r="D258" s="42"/>
      <c r="E258" s="42"/>
      <c r="F258" s="42"/>
      <c r="G258" s="43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4"/>
      <c r="U258" s="42"/>
      <c r="V258" s="42"/>
      <c r="W258" s="42"/>
      <c r="X258" s="42"/>
      <c r="Y258" s="42"/>
      <c r="Z258" s="42"/>
    </row>
    <row r="259" ht="15.75" customHeight="1" spans="1:26" x14ac:dyDescent="0.25">
      <c r="A259" s="42"/>
      <c r="B259" s="42"/>
      <c r="C259" s="42"/>
      <c r="D259" s="42"/>
      <c r="E259" s="42"/>
      <c r="F259" s="42"/>
      <c r="G259" s="43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4"/>
      <c r="U259" s="42"/>
      <c r="V259" s="42"/>
      <c r="W259" s="42"/>
      <c r="X259" s="42"/>
      <c r="Y259" s="42"/>
      <c r="Z259" s="42"/>
    </row>
    <row r="260" ht="15.75" customHeight="1" spans="1:26" x14ac:dyDescent="0.25">
      <c r="A260" s="42"/>
      <c r="B260" s="42"/>
      <c r="C260" s="42"/>
      <c r="D260" s="42"/>
      <c r="E260" s="42"/>
      <c r="F260" s="42"/>
      <c r="G260" s="43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4"/>
      <c r="U260" s="42"/>
      <c r="V260" s="42"/>
      <c r="W260" s="42"/>
      <c r="X260" s="42"/>
      <c r="Y260" s="42"/>
      <c r="Z260" s="42"/>
    </row>
    <row r="261" ht="15.75" customHeight="1" spans="1:26" x14ac:dyDescent="0.25">
      <c r="A261" s="42"/>
      <c r="B261" s="42"/>
      <c r="C261" s="42"/>
      <c r="D261" s="42"/>
      <c r="E261" s="42"/>
      <c r="F261" s="42"/>
      <c r="G261" s="43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4"/>
      <c r="U261" s="42"/>
      <c r="V261" s="42"/>
      <c r="W261" s="42"/>
      <c r="X261" s="42"/>
      <c r="Y261" s="42"/>
      <c r="Z261" s="42"/>
    </row>
    <row r="262" ht="15.75" customHeight="1" spans="1:26" x14ac:dyDescent="0.25">
      <c r="A262" s="42"/>
      <c r="B262" s="42"/>
      <c r="C262" s="42"/>
      <c r="D262" s="42"/>
      <c r="E262" s="42"/>
      <c r="F262" s="42"/>
      <c r="G262" s="43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4"/>
      <c r="U262" s="42"/>
      <c r="V262" s="42"/>
      <c r="W262" s="42"/>
      <c r="X262" s="42"/>
      <c r="Y262" s="42"/>
      <c r="Z262" s="42"/>
    </row>
    <row r="263" ht="15.75" customHeight="1" spans="1:26" x14ac:dyDescent="0.25">
      <c r="A263" s="42"/>
      <c r="B263" s="42"/>
      <c r="C263" s="42"/>
      <c r="D263" s="42"/>
      <c r="E263" s="42"/>
      <c r="F263" s="42"/>
      <c r="G263" s="43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4"/>
      <c r="U263" s="42"/>
      <c r="V263" s="42"/>
      <c r="W263" s="42"/>
      <c r="X263" s="42"/>
      <c r="Y263" s="42"/>
      <c r="Z263" s="42"/>
    </row>
    <row r="264" ht="15.75" customHeight="1" spans="1:26" x14ac:dyDescent="0.25">
      <c r="A264" s="42"/>
      <c r="B264" s="42"/>
      <c r="C264" s="42"/>
      <c r="D264" s="42"/>
      <c r="E264" s="42"/>
      <c r="F264" s="42"/>
      <c r="G264" s="43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4"/>
      <c r="U264" s="42"/>
      <c r="V264" s="42"/>
      <c r="W264" s="42"/>
      <c r="X264" s="42"/>
      <c r="Y264" s="42"/>
      <c r="Z264" s="42"/>
    </row>
    <row r="265" ht="15.75" customHeight="1" spans="1:26" x14ac:dyDescent="0.25">
      <c r="A265" s="42"/>
      <c r="B265" s="42"/>
      <c r="C265" s="42"/>
      <c r="D265" s="42"/>
      <c r="E265" s="42"/>
      <c r="F265" s="42"/>
      <c r="G265" s="43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4"/>
      <c r="U265" s="42"/>
      <c r="V265" s="42"/>
      <c r="W265" s="42"/>
      <c r="X265" s="42"/>
      <c r="Y265" s="42"/>
      <c r="Z265" s="42"/>
    </row>
    <row r="266" ht="15.75" customHeight="1" spans="1:26" x14ac:dyDescent="0.25">
      <c r="A266" s="42"/>
      <c r="B266" s="42"/>
      <c r="C266" s="42"/>
      <c r="D266" s="42"/>
      <c r="E266" s="42"/>
      <c r="F266" s="42"/>
      <c r="G266" s="43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4"/>
      <c r="U266" s="42"/>
      <c r="V266" s="42"/>
      <c r="W266" s="42"/>
      <c r="X266" s="42"/>
      <c r="Y266" s="42"/>
      <c r="Z266" s="42"/>
    </row>
    <row r="267" ht="15.75" customHeight="1" spans="1:26" x14ac:dyDescent="0.25">
      <c r="A267" s="42"/>
      <c r="B267" s="42"/>
      <c r="C267" s="42"/>
      <c r="D267" s="42"/>
      <c r="E267" s="42"/>
      <c r="F267" s="42"/>
      <c r="G267" s="43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4"/>
      <c r="U267" s="42"/>
      <c r="V267" s="42"/>
      <c r="W267" s="42"/>
      <c r="X267" s="42"/>
      <c r="Y267" s="42"/>
      <c r="Z267" s="42"/>
    </row>
    <row r="268" ht="15.75" customHeight="1" spans="1:26" x14ac:dyDescent="0.25">
      <c r="A268" s="42"/>
      <c r="B268" s="42"/>
      <c r="C268" s="42"/>
      <c r="D268" s="42"/>
      <c r="E268" s="42"/>
      <c r="F268" s="42"/>
      <c r="G268" s="43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4"/>
      <c r="U268" s="42"/>
      <c r="V268" s="42"/>
      <c r="W268" s="42"/>
      <c r="X268" s="42"/>
      <c r="Y268" s="42"/>
      <c r="Z268" s="42"/>
    </row>
    <row r="269" ht="15.75" customHeight="1" spans="1:26" x14ac:dyDescent="0.25">
      <c r="A269" s="42"/>
      <c r="B269" s="42"/>
      <c r="C269" s="42"/>
      <c r="D269" s="42"/>
      <c r="E269" s="42"/>
      <c r="F269" s="42"/>
      <c r="G269" s="43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4"/>
      <c r="U269" s="42"/>
      <c r="V269" s="42"/>
      <c r="W269" s="42"/>
      <c r="X269" s="42"/>
      <c r="Y269" s="42"/>
      <c r="Z269" s="42"/>
    </row>
    <row r="270" ht="15.75" customHeight="1" spans="1:26" x14ac:dyDescent="0.25">
      <c r="A270" s="42"/>
      <c r="B270" s="42"/>
      <c r="C270" s="42"/>
      <c r="D270" s="42"/>
      <c r="E270" s="42"/>
      <c r="F270" s="42"/>
      <c r="G270" s="43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4"/>
      <c r="U270" s="42"/>
      <c r="V270" s="42"/>
      <c r="W270" s="42"/>
      <c r="X270" s="42"/>
      <c r="Y270" s="42"/>
      <c r="Z270" s="42"/>
    </row>
    <row r="271" ht="15.75" customHeight="1" spans="1:26" x14ac:dyDescent="0.25">
      <c r="A271" s="42"/>
      <c r="B271" s="42"/>
      <c r="C271" s="42"/>
      <c r="D271" s="42"/>
      <c r="E271" s="42"/>
      <c r="F271" s="42"/>
      <c r="G271" s="43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4"/>
      <c r="U271" s="42"/>
      <c r="V271" s="42"/>
      <c r="W271" s="42"/>
      <c r="X271" s="42"/>
      <c r="Y271" s="42"/>
      <c r="Z271" s="42"/>
    </row>
    <row r="272" ht="15.75" customHeight="1" spans="1:26" x14ac:dyDescent="0.25">
      <c r="A272" s="42"/>
      <c r="B272" s="42"/>
      <c r="C272" s="42"/>
      <c r="D272" s="42"/>
      <c r="E272" s="42"/>
      <c r="F272" s="42"/>
      <c r="G272" s="43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4"/>
      <c r="U272" s="42"/>
      <c r="V272" s="42"/>
      <c r="W272" s="42"/>
      <c r="X272" s="42"/>
      <c r="Y272" s="42"/>
      <c r="Z272" s="42"/>
    </row>
    <row r="273" ht="15.75" customHeight="1" spans="1:26" x14ac:dyDescent="0.25">
      <c r="A273" s="42"/>
      <c r="B273" s="42"/>
      <c r="C273" s="42"/>
      <c r="D273" s="42"/>
      <c r="E273" s="42"/>
      <c r="F273" s="42"/>
      <c r="G273" s="43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4"/>
      <c r="U273" s="42"/>
      <c r="V273" s="42"/>
      <c r="W273" s="42"/>
      <c r="X273" s="42"/>
      <c r="Y273" s="42"/>
      <c r="Z273" s="42"/>
    </row>
    <row r="274" ht="15.75" customHeight="1" spans="1:26" x14ac:dyDescent="0.25">
      <c r="A274" s="42"/>
      <c r="B274" s="42"/>
      <c r="C274" s="42"/>
      <c r="D274" s="42"/>
      <c r="E274" s="42"/>
      <c r="F274" s="42"/>
      <c r="G274" s="43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4"/>
      <c r="U274" s="42"/>
      <c r="V274" s="42"/>
      <c r="W274" s="42"/>
      <c r="X274" s="42"/>
      <c r="Y274" s="42"/>
      <c r="Z274" s="42"/>
    </row>
    <row r="275" ht="15.75" customHeight="1" spans="1:26" x14ac:dyDescent="0.25">
      <c r="A275" s="42"/>
      <c r="B275" s="42"/>
      <c r="C275" s="42"/>
      <c r="D275" s="42"/>
      <c r="E275" s="42"/>
      <c r="F275" s="42"/>
      <c r="G275" s="43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4"/>
      <c r="U275" s="42"/>
      <c r="V275" s="42"/>
      <c r="W275" s="42"/>
      <c r="X275" s="42"/>
      <c r="Y275" s="42"/>
      <c r="Z275" s="42"/>
    </row>
    <row r="276" ht="15.75" customHeight="1" spans="1:26" x14ac:dyDescent="0.25">
      <c r="A276" s="42"/>
      <c r="B276" s="42"/>
      <c r="C276" s="42"/>
      <c r="D276" s="42"/>
      <c r="E276" s="42"/>
      <c r="F276" s="42"/>
      <c r="G276" s="43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4"/>
      <c r="U276" s="42"/>
      <c r="V276" s="42"/>
      <c r="W276" s="42"/>
      <c r="X276" s="42"/>
      <c r="Y276" s="42"/>
      <c r="Z276" s="42"/>
    </row>
    <row r="277" ht="15.75" customHeight="1" spans="1:26" x14ac:dyDescent="0.25">
      <c r="A277" s="42"/>
      <c r="B277" s="42"/>
      <c r="C277" s="42"/>
      <c r="D277" s="42"/>
      <c r="E277" s="42"/>
      <c r="F277" s="42"/>
      <c r="G277" s="43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4"/>
      <c r="U277" s="42"/>
      <c r="V277" s="42"/>
      <c r="W277" s="42"/>
      <c r="X277" s="42"/>
      <c r="Y277" s="42"/>
      <c r="Z277" s="42"/>
    </row>
    <row r="278" ht="15.75" customHeight="1" spans="1:26" x14ac:dyDescent="0.25">
      <c r="A278" s="42"/>
      <c r="B278" s="42"/>
      <c r="C278" s="42"/>
      <c r="D278" s="42"/>
      <c r="E278" s="42"/>
      <c r="F278" s="42"/>
      <c r="G278" s="43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4"/>
      <c r="U278" s="42"/>
      <c r="V278" s="42"/>
      <c r="W278" s="42"/>
      <c r="X278" s="42"/>
      <c r="Y278" s="42"/>
      <c r="Z278" s="42"/>
    </row>
    <row r="279" ht="15.75" customHeight="1" spans="1:26" x14ac:dyDescent="0.25">
      <c r="A279" s="42"/>
      <c r="B279" s="42"/>
      <c r="C279" s="42"/>
      <c r="D279" s="42"/>
      <c r="E279" s="42"/>
      <c r="F279" s="42"/>
      <c r="G279" s="43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4"/>
      <c r="U279" s="42"/>
      <c r="V279" s="42"/>
      <c r="W279" s="42"/>
      <c r="X279" s="42"/>
      <c r="Y279" s="42"/>
      <c r="Z279" s="42"/>
    </row>
    <row r="280" ht="15.75" customHeight="1" spans="1:26" x14ac:dyDescent="0.25">
      <c r="A280" s="42"/>
      <c r="B280" s="42"/>
      <c r="C280" s="42"/>
      <c r="D280" s="42"/>
      <c r="E280" s="42"/>
      <c r="F280" s="42"/>
      <c r="G280" s="43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4"/>
      <c r="U280" s="42"/>
      <c r="V280" s="42"/>
      <c r="W280" s="42"/>
      <c r="X280" s="42"/>
      <c r="Y280" s="42"/>
      <c r="Z280" s="42"/>
    </row>
    <row r="281" ht="15.75" customHeight="1" spans="1:26" x14ac:dyDescent="0.25">
      <c r="A281" s="42"/>
      <c r="B281" s="42"/>
      <c r="C281" s="42"/>
      <c r="D281" s="42"/>
      <c r="E281" s="42"/>
      <c r="F281" s="42"/>
      <c r="G281" s="43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4"/>
      <c r="U281" s="42"/>
      <c r="V281" s="42"/>
      <c r="W281" s="42"/>
      <c r="X281" s="42"/>
      <c r="Y281" s="42"/>
      <c r="Z281" s="42"/>
    </row>
    <row r="282" ht="15.75" customHeight="1" spans="1:26" x14ac:dyDescent="0.25">
      <c r="A282" s="42"/>
      <c r="B282" s="42"/>
      <c r="C282" s="42"/>
      <c r="D282" s="42"/>
      <c r="E282" s="42"/>
      <c r="F282" s="42"/>
      <c r="G282" s="43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4"/>
      <c r="U282" s="42"/>
      <c r="V282" s="42"/>
      <c r="W282" s="42"/>
      <c r="X282" s="42"/>
      <c r="Y282" s="42"/>
      <c r="Z282" s="42"/>
    </row>
    <row r="283" ht="15.75" customHeight="1" spans="1:26" x14ac:dyDescent="0.25">
      <c r="A283" s="42"/>
      <c r="B283" s="42"/>
      <c r="C283" s="42"/>
      <c r="D283" s="42"/>
      <c r="E283" s="42"/>
      <c r="F283" s="42"/>
      <c r="G283" s="43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4"/>
      <c r="U283" s="42"/>
      <c r="V283" s="42"/>
      <c r="W283" s="42"/>
      <c r="X283" s="42"/>
      <c r="Y283" s="42"/>
      <c r="Z283" s="42"/>
    </row>
    <row r="284" ht="15.75" customHeight="1" spans="1:26" x14ac:dyDescent="0.25">
      <c r="A284" s="42"/>
      <c r="B284" s="42"/>
      <c r="C284" s="42"/>
      <c r="D284" s="42"/>
      <c r="E284" s="42"/>
      <c r="F284" s="42"/>
      <c r="G284" s="43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4"/>
      <c r="U284" s="42"/>
      <c r="V284" s="42"/>
      <c r="W284" s="42"/>
      <c r="X284" s="42"/>
      <c r="Y284" s="42"/>
      <c r="Z284" s="42"/>
    </row>
    <row r="285" ht="15.75" customHeight="1" spans="1:26" x14ac:dyDescent="0.25">
      <c r="A285" s="42"/>
      <c r="B285" s="42"/>
      <c r="C285" s="42"/>
      <c r="D285" s="42"/>
      <c r="E285" s="42"/>
      <c r="F285" s="42"/>
      <c r="G285" s="43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4"/>
      <c r="U285" s="42"/>
      <c r="V285" s="42"/>
      <c r="W285" s="42"/>
      <c r="X285" s="42"/>
      <c r="Y285" s="42"/>
      <c r="Z285" s="42"/>
    </row>
    <row r="286" ht="15.75" customHeight="1" spans="1:26" x14ac:dyDescent="0.25">
      <c r="A286" s="42"/>
      <c r="B286" s="42"/>
      <c r="C286" s="42"/>
      <c r="D286" s="42"/>
      <c r="E286" s="42"/>
      <c r="F286" s="42"/>
      <c r="G286" s="43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4"/>
      <c r="U286" s="42"/>
      <c r="V286" s="42"/>
      <c r="W286" s="42"/>
      <c r="X286" s="42"/>
      <c r="Y286" s="42"/>
      <c r="Z286" s="42"/>
    </row>
    <row r="287" ht="15.75" customHeight="1" spans="1:26" x14ac:dyDescent="0.25">
      <c r="A287" s="42"/>
      <c r="B287" s="42"/>
      <c r="C287" s="42"/>
      <c r="D287" s="42"/>
      <c r="E287" s="42"/>
      <c r="F287" s="42"/>
      <c r="G287" s="43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4"/>
      <c r="U287" s="42"/>
      <c r="V287" s="42"/>
      <c r="W287" s="42"/>
      <c r="X287" s="42"/>
      <c r="Y287" s="42"/>
      <c r="Z287" s="42"/>
    </row>
    <row r="288" ht="15.75" customHeight="1" spans="1:26" x14ac:dyDescent="0.25">
      <c r="A288" s="42"/>
      <c r="B288" s="42"/>
      <c r="C288" s="42"/>
      <c r="D288" s="42"/>
      <c r="E288" s="42"/>
      <c r="F288" s="42"/>
      <c r="G288" s="43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4"/>
      <c r="U288" s="42"/>
      <c r="V288" s="42"/>
      <c r="W288" s="42"/>
      <c r="X288" s="42"/>
      <c r="Y288" s="42"/>
      <c r="Z288" s="42"/>
    </row>
    <row r="289" ht="15.75" customHeight="1" spans="1:26" x14ac:dyDescent="0.25">
      <c r="A289" s="42"/>
      <c r="B289" s="42"/>
      <c r="C289" s="42"/>
      <c r="D289" s="42"/>
      <c r="E289" s="42"/>
      <c r="F289" s="42"/>
      <c r="G289" s="43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4"/>
      <c r="U289" s="42"/>
      <c r="V289" s="42"/>
      <c r="W289" s="42"/>
      <c r="X289" s="42"/>
      <c r="Y289" s="42"/>
      <c r="Z289" s="42"/>
    </row>
    <row r="290" ht="15.75" customHeight="1" spans="1:26" x14ac:dyDescent="0.25">
      <c r="A290" s="42"/>
      <c r="B290" s="42"/>
      <c r="C290" s="42"/>
      <c r="D290" s="42"/>
      <c r="E290" s="42"/>
      <c r="F290" s="42"/>
      <c r="G290" s="43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4"/>
      <c r="U290" s="42"/>
      <c r="V290" s="42"/>
      <c r="W290" s="42"/>
      <c r="X290" s="42"/>
      <c r="Y290" s="42"/>
      <c r="Z290" s="42"/>
    </row>
    <row r="291" ht="15.75" customHeight="1" spans="1:26" x14ac:dyDescent="0.25">
      <c r="A291" s="42"/>
      <c r="B291" s="42"/>
      <c r="C291" s="42"/>
      <c r="D291" s="42"/>
      <c r="E291" s="42"/>
      <c r="F291" s="42"/>
      <c r="G291" s="43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4"/>
      <c r="U291" s="42"/>
      <c r="V291" s="42"/>
      <c r="W291" s="42"/>
      <c r="X291" s="42"/>
      <c r="Y291" s="42"/>
      <c r="Z291" s="42"/>
    </row>
    <row r="292" ht="15.75" customHeight="1" spans="1:26" x14ac:dyDescent="0.25">
      <c r="A292" s="42"/>
      <c r="B292" s="42"/>
      <c r="C292" s="42"/>
      <c r="D292" s="42"/>
      <c r="E292" s="42"/>
      <c r="F292" s="42"/>
      <c r="G292" s="43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4"/>
      <c r="U292" s="42"/>
      <c r="V292" s="42"/>
      <c r="W292" s="42"/>
      <c r="X292" s="42"/>
      <c r="Y292" s="42"/>
      <c r="Z292" s="42"/>
    </row>
    <row r="293" ht="15.75" customHeight="1" spans="1:26" x14ac:dyDescent="0.25">
      <c r="A293" s="42"/>
      <c r="B293" s="42"/>
      <c r="C293" s="42"/>
      <c r="D293" s="42"/>
      <c r="E293" s="42"/>
      <c r="F293" s="42"/>
      <c r="G293" s="43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4"/>
      <c r="U293" s="42"/>
      <c r="V293" s="42"/>
      <c r="W293" s="42"/>
      <c r="X293" s="42"/>
      <c r="Y293" s="42"/>
      <c r="Z293" s="42"/>
    </row>
    <row r="294" ht="15.75" customHeight="1" spans="1:26" x14ac:dyDescent="0.25">
      <c r="A294" s="42"/>
      <c r="B294" s="42"/>
      <c r="C294" s="42"/>
      <c r="D294" s="42"/>
      <c r="E294" s="42"/>
      <c r="F294" s="42"/>
      <c r="G294" s="43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4"/>
      <c r="U294" s="42"/>
      <c r="V294" s="42"/>
      <c r="W294" s="42"/>
      <c r="X294" s="42"/>
      <c r="Y294" s="42"/>
      <c r="Z294" s="42"/>
    </row>
    <row r="295" ht="15.75" customHeight="1" spans="1:26" x14ac:dyDescent="0.25">
      <c r="A295" s="42"/>
      <c r="B295" s="42"/>
      <c r="C295" s="42"/>
      <c r="D295" s="42"/>
      <c r="E295" s="42"/>
      <c r="F295" s="42"/>
      <c r="G295" s="43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4"/>
      <c r="U295" s="42"/>
      <c r="V295" s="42"/>
      <c r="W295" s="42"/>
      <c r="X295" s="42"/>
      <c r="Y295" s="42"/>
      <c r="Z295" s="42"/>
    </row>
    <row r="296" ht="15.75" customHeight="1" spans="1:26" x14ac:dyDescent="0.25">
      <c r="A296" s="42"/>
      <c r="B296" s="42"/>
      <c r="C296" s="42"/>
      <c r="D296" s="42"/>
      <c r="E296" s="42"/>
      <c r="F296" s="42"/>
      <c r="G296" s="43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4"/>
      <c r="U296" s="42"/>
      <c r="V296" s="42"/>
      <c r="W296" s="42"/>
      <c r="X296" s="42"/>
      <c r="Y296" s="42"/>
      <c r="Z296" s="42"/>
    </row>
    <row r="297" ht="15.75" customHeight="1" spans="1:26" x14ac:dyDescent="0.25">
      <c r="A297" s="42"/>
      <c r="B297" s="42"/>
      <c r="C297" s="42"/>
      <c r="D297" s="42"/>
      <c r="E297" s="42"/>
      <c r="F297" s="42"/>
      <c r="G297" s="43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4"/>
      <c r="U297" s="42"/>
      <c r="V297" s="42"/>
      <c r="W297" s="42"/>
      <c r="X297" s="42"/>
      <c r="Y297" s="42"/>
      <c r="Z297" s="42"/>
    </row>
    <row r="298" ht="15.75" customHeight="1" spans="1:26" x14ac:dyDescent="0.25">
      <c r="A298" s="42"/>
      <c r="B298" s="42"/>
      <c r="C298" s="42"/>
      <c r="D298" s="42"/>
      <c r="E298" s="42"/>
      <c r="F298" s="42"/>
      <c r="G298" s="43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4"/>
      <c r="U298" s="42"/>
      <c r="V298" s="42"/>
      <c r="W298" s="42"/>
      <c r="X298" s="42"/>
      <c r="Y298" s="42"/>
      <c r="Z298" s="42"/>
    </row>
    <row r="299" ht="15.75" customHeight="1" spans="1:26" x14ac:dyDescent="0.25">
      <c r="A299" s="42"/>
      <c r="B299" s="42"/>
      <c r="C299" s="42"/>
      <c r="D299" s="42"/>
      <c r="E299" s="42"/>
      <c r="F299" s="42"/>
      <c r="G299" s="43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4"/>
      <c r="U299" s="42"/>
      <c r="V299" s="42"/>
      <c r="W299" s="42"/>
      <c r="X299" s="42"/>
      <c r="Y299" s="42"/>
      <c r="Z299" s="42"/>
    </row>
    <row r="300" ht="15.75" customHeight="1" spans="1:26" x14ac:dyDescent="0.25">
      <c r="A300" s="42"/>
      <c r="B300" s="42"/>
      <c r="C300" s="42"/>
      <c r="D300" s="42"/>
      <c r="E300" s="42"/>
      <c r="F300" s="42"/>
      <c r="G300" s="43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4"/>
      <c r="U300" s="42"/>
      <c r="V300" s="42"/>
      <c r="W300" s="42"/>
      <c r="X300" s="42"/>
      <c r="Y300" s="42"/>
      <c r="Z300" s="42"/>
    </row>
    <row r="301" ht="15.75" customHeight="1" spans="1:26" x14ac:dyDescent="0.25">
      <c r="A301" s="42"/>
      <c r="B301" s="42"/>
      <c r="C301" s="42"/>
      <c r="D301" s="42"/>
      <c r="E301" s="42"/>
      <c r="F301" s="42"/>
      <c r="G301" s="43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4"/>
      <c r="U301" s="42"/>
      <c r="V301" s="42"/>
      <c r="W301" s="42"/>
      <c r="X301" s="42"/>
      <c r="Y301" s="42"/>
      <c r="Z301" s="42"/>
    </row>
    <row r="302" ht="15.75" customHeight="1" spans="1:26" x14ac:dyDescent="0.25">
      <c r="A302" s="42"/>
      <c r="B302" s="42"/>
      <c r="C302" s="42"/>
      <c r="D302" s="42"/>
      <c r="E302" s="42"/>
      <c r="F302" s="42"/>
      <c r="G302" s="43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4"/>
      <c r="U302" s="42"/>
      <c r="V302" s="42"/>
      <c r="W302" s="42"/>
      <c r="X302" s="42"/>
      <c r="Y302" s="42"/>
      <c r="Z302" s="42"/>
    </row>
    <row r="303" ht="15.75" customHeight="1" spans="1:26" x14ac:dyDescent="0.25">
      <c r="A303" s="42"/>
      <c r="B303" s="42"/>
      <c r="C303" s="42"/>
      <c r="D303" s="42"/>
      <c r="E303" s="42"/>
      <c r="F303" s="42"/>
      <c r="G303" s="43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4"/>
      <c r="U303" s="42"/>
      <c r="V303" s="42"/>
      <c r="W303" s="42"/>
      <c r="X303" s="42"/>
      <c r="Y303" s="42"/>
      <c r="Z303" s="42"/>
    </row>
    <row r="304" ht="15.75" customHeight="1" spans="1:26" x14ac:dyDescent="0.25">
      <c r="A304" s="42"/>
      <c r="B304" s="42"/>
      <c r="C304" s="42"/>
      <c r="D304" s="42"/>
      <c r="E304" s="42"/>
      <c r="F304" s="42"/>
      <c r="G304" s="43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4"/>
      <c r="U304" s="42"/>
      <c r="V304" s="42"/>
      <c r="W304" s="42"/>
      <c r="X304" s="42"/>
      <c r="Y304" s="42"/>
      <c r="Z304" s="42"/>
    </row>
    <row r="305" ht="15.75" customHeight="1" spans="1:26" x14ac:dyDescent="0.25">
      <c r="A305" s="42"/>
      <c r="B305" s="42"/>
      <c r="C305" s="42"/>
      <c r="D305" s="42"/>
      <c r="E305" s="42"/>
      <c r="F305" s="42"/>
      <c r="G305" s="43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4"/>
      <c r="U305" s="42"/>
      <c r="V305" s="42"/>
      <c r="W305" s="42"/>
      <c r="X305" s="42"/>
      <c r="Y305" s="42"/>
      <c r="Z305" s="42"/>
    </row>
    <row r="306" ht="15.75" customHeight="1" spans="1:26" x14ac:dyDescent="0.25">
      <c r="A306" s="42"/>
      <c r="B306" s="42"/>
      <c r="C306" s="42"/>
      <c r="D306" s="42"/>
      <c r="E306" s="42"/>
      <c r="F306" s="42"/>
      <c r="G306" s="43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4"/>
      <c r="U306" s="42"/>
      <c r="V306" s="42"/>
      <c r="W306" s="42"/>
      <c r="X306" s="42"/>
      <c r="Y306" s="42"/>
      <c r="Z306" s="42"/>
    </row>
    <row r="307" ht="15.75" customHeight="1" spans="1:26" x14ac:dyDescent="0.25">
      <c r="A307" s="42"/>
      <c r="B307" s="42"/>
      <c r="C307" s="42"/>
      <c r="D307" s="42"/>
      <c r="E307" s="42"/>
      <c r="F307" s="42"/>
      <c r="G307" s="43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4"/>
      <c r="U307" s="42"/>
      <c r="V307" s="42"/>
      <c r="W307" s="42"/>
      <c r="X307" s="42"/>
      <c r="Y307" s="42"/>
      <c r="Z307" s="42"/>
    </row>
    <row r="308" ht="15.75" customHeight="1" spans="1:26" x14ac:dyDescent="0.25">
      <c r="A308" s="42"/>
      <c r="B308" s="42"/>
      <c r="C308" s="42"/>
      <c r="D308" s="42"/>
      <c r="E308" s="42"/>
      <c r="F308" s="42"/>
      <c r="G308" s="43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4"/>
      <c r="U308" s="42"/>
      <c r="V308" s="42"/>
      <c r="W308" s="42"/>
      <c r="X308" s="42"/>
      <c r="Y308" s="42"/>
      <c r="Z308" s="42"/>
    </row>
    <row r="309" ht="15.75" customHeight="1" spans="1:26" x14ac:dyDescent="0.25">
      <c r="A309" s="42"/>
      <c r="B309" s="42"/>
      <c r="C309" s="42"/>
      <c r="D309" s="42"/>
      <c r="E309" s="42"/>
      <c r="F309" s="42"/>
      <c r="G309" s="43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4"/>
      <c r="U309" s="42"/>
      <c r="V309" s="42"/>
      <c r="W309" s="42"/>
      <c r="X309" s="42"/>
      <c r="Y309" s="42"/>
      <c r="Z309" s="42"/>
    </row>
    <row r="310" ht="15.75" customHeight="1" spans="1:26" x14ac:dyDescent="0.25">
      <c r="A310" s="42"/>
      <c r="B310" s="42"/>
      <c r="C310" s="42"/>
      <c r="D310" s="42"/>
      <c r="E310" s="42"/>
      <c r="F310" s="42"/>
      <c r="G310" s="43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4"/>
      <c r="U310" s="42"/>
      <c r="V310" s="42"/>
      <c r="W310" s="42"/>
      <c r="X310" s="42"/>
      <c r="Y310" s="42"/>
      <c r="Z310" s="42"/>
    </row>
    <row r="311" ht="15.75" customHeight="1" spans="1:26" x14ac:dyDescent="0.25">
      <c r="A311" s="42"/>
      <c r="B311" s="42"/>
      <c r="C311" s="42"/>
      <c r="D311" s="42"/>
      <c r="E311" s="42"/>
      <c r="F311" s="42"/>
      <c r="G311" s="43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4"/>
      <c r="U311" s="42"/>
      <c r="V311" s="42"/>
      <c r="W311" s="42"/>
      <c r="X311" s="42"/>
      <c r="Y311" s="42"/>
      <c r="Z311" s="42"/>
    </row>
    <row r="312" ht="15.75" customHeight="1" spans="1:26" x14ac:dyDescent="0.25">
      <c r="A312" s="42"/>
      <c r="B312" s="42"/>
      <c r="C312" s="42"/>
      <c r="D312" s="42"/>
      <c r="E312" s="42"/>
      <c r="F312" s="42"/>
      <c r="G312" s="43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4"/>
      <c r="U312" s="42"/>
      <c r="V312" s="42"/>
      <c r="W312" s="42"/>
      <c r="X312" s="42"/>
      <c r="Y312" s="42"/>
      <c r="Z312" s="42"/>
    </row>
    <row r="313" ht="15.75" customHeight="1" spans="1:26" x14ac:dyDescent="0.25">
      <c r="A313" s="42"/>
      <c r="B313" s="42"/>
      <c r="C313" s="42"/>
      <c r="D313" s="42"/>
      <c r="E313" s="42"/>
      <c r="F313" s="42"/>
      <c r="G313" s="43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4"/>
      <c r="U313" s="42"/>
      <c r="V313" s="42"/>
      <c r="W313" s="42"/>
      <c r="X313" s="42"/>
      <c r="Y313" s="42"/>
      <c r="Z313" s="42"/>
    </row>
    <row r="314" ht="15.75" customHeight="1" spans="1:26" x14ac:dyDescent="0.25">
      <c r="A314" s="42"/>
      <c r="B314" s="42"/>
      <c r="C314" s="42"/>
      <c r="D314" s="42"/>
      <c r="E314" s="42"/>
      <c r="F314" s="42"/>
      <c r="G314" s="43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4"/>
      <c r="U314" s="42"/>
      <c r="V314" s="42"/>
      <c r="W314" s="42"/>
      <c r="X314" s="42"/>
      <c r="Y314" s="42"/>
      <c r="Z314" s="42"/>
    </row>
    <row r="315" ht="15.75" customHeight="1" spans="1:26" x14ac:dyDescent="0.25">
      <c r="A315" s="42"/>
      <c r="B315" s="42"/>
      <c r="C315" s="42"/>
      <c r="D315" s="42"/>
      <c r="E315" s="42"/>
      <c r="F315" s="42"/>
      <c r="G315" s="43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4"/>
      <c r="U315" s="42"/>
      <c r="V315" s="42"/>
      <c r="W315" s="42"/>
      <c r="X315" s="42"/>
      <c r="Y315" s="42"/>
      <c r="Z315" s="42"/>
    </row>
    <row r="316" ht="15.75" customHeight="1" spans="1:26" x14ac:dyDescent="0.25">
      <c r="A316" s="42"/>
      <c r="B316" s="42"/>
      <c r="C316" s="42"/>
      <c r="D316" s="42"/>
      <c r="E316" s="42"/>
      <c r="F316" s="42"/>
      <c r="G316" s="43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4"/>
      <c r="U316" s="42"/>
      <c r="V316" s="42"/>
      <c r="W316" s="42"/>
      <c r="X316" s="42"/>
      <c r="Y316" s="42"/>
      <c r="Z316" s="42"/>
    </row>
    <row r="317" ht="15.75" customHeight="1" spans="1:26" x14ac:dyDescent="0.25">
      <c r="A317" s="42"/>
      <c r="B317" s="42"/>
      <c r="C317" s="42"/>
      <c r="D317" s="42"/>
      <c r="E317" s="42"/>
      <c r="F317" s="42"/>
      <c r="G317" s="43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4"/>
      <c r="U317" s="42"/>
      <c r="V317" s="42"/>
      <c r="W317" s="42"/>
      <c r="X317" s="42"/>
      <c r="Y317" s="42"/>
      <c r="Z317" s="42"/>
    </row>
    <row r="318" ht="15.75" customHeight="1" spans="1:26" x14ac:dyDescent="0.25">
      <c r="A318" s="42"/>
      <c r="B318" s="42"/>
      <c r="C318" s="42"/>
      <c r="D318" s="42"/>
      <c r="E318" s="42"/>
      <c r="F318" s="42"/>
      <c r="G318" s="43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4"/>
      <c r="U318" s="42"/>
      <c r="V318" s="42"/>
      <c r="W318" s="42"/>
      <c r="X318" s="42"/>
      <c r="Y318" s="42"/>
      <c r="Z318" s="42"/>
    </row>
    <row r="319" ht="15.75" customHeight="1" spans="1:26" x14ac:dyDescent="0.25">
      <c r="A319" s="42"/>
      <c r="B319" s="42"/>
      <c r="C319" s="42"/>
      <c r="D319" s="42"/>
      <c r="E319" s="42"/>
      <c r="F319" s="42"/>
      <c r="G319" s="43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4"/>
      <c r="U319" s="42"/>
      <c r="V319" s="42"/>
      <c r="W319" s="42"/>
      <c r="X319" s="42"/>
      <c r="Y319" s="42"/>
      <c r="Z319" s="42"/>
    </row>
    <row r="320" ht="15.75" customHeight="1" spans="1:26" x14ac:dyDescent="0.25">
      <c r="A320" s="42"/>
      <c r="B320" s="42"/>
      <c r="C320" s="42"/>
      <c r="D320" s="42"/>
      <c r="E320" s="42"/>
      <c r="F320" s="42"/>
      <c r="G320" s="43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4"/>
      <c r="U320" s="42"/>
      <c r="V320" s="42"/>
      <c r="W320" s="42"/>
      <c r="X320" s="42"/>
      <c r="Y320" s="42"/>
      <c r="Z320" s="42"/>
    </row>
    <row r="321" ht="15.75" customHeight="1" spans="1:26" x14ac:dyDescent="0.25">
      <c r="A321" s="42"/>
      <c r="B321" s="42"/>
      <c r="C321" s="42"/>
      <c r="D321" s="42"/>
      <c r="E321" s="42"/>
      <c r="F321" s="42"/>
      <c r="G321" s="43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4"/>
      <c r="U321" s="42"/>
      <c r="V321" s="42"/>
      <c r="W321" s="42"/>
      <c r="X321" s="42"/>
      <c r="Y321" s="42"/>
      <c r="Z321" s="42"/>
    </row>
    <row r="322" ht="15.75" customHeight="1" spans="1:26" x14ac:dyDescent="0.25">
      <c r="A322" s="42"/>
      <c r="B322" s="42"/>
      <c r="C322" s="42"/>
      <c r="D322" s="42"/>
      <c r="E322" s="42"/>
      <c r="F322" s="42"/>
      <c r="G322" s="43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4"/>
      <c r="U322" s="42"/>
      <c r="V322" s="42"/>
      <c r="W322" s="42"/>
      <c r="X322" s="42"/>
      <c r="Y322" s="42"/>
      <c r="Z322" s="42"/>
    </row>
    <row r="323" ht="15.75" customHeight="1" spans="1:26" x14ac:dyDescent="0.25">
      <c r="A323" s="42"/>
      <c r="B323" s="42"/>
      <c r="C323" s="42"/>
      <c r="D323" s="42"/>
      <c r="E323" s="42"/>
      <c r="F323" s="42"/>
      <c r="G323" s="43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4"/>
      <c r="U323" s="42"/>
      <c r="V323" s="42"/>
      <c r="W323" s="42"/>
      <c r="X323" s="42"/>
      <c r="Y323" s="42"/>
      <c r="Z323" s="42"/>
    </row>
    <row r="324" ht="15.75" customHeight="1" spans="1:26" x14ac:dyDescent="0.25">
      <c r="A324" s="42"/>
      <c r="B324" s="42"/>
      <c r="C324" s="42"/>
      <c r="D324" s="42"/>
      <c r="E324" s="42"/>
      <c r="F324" s="42"/>
      <c r="G324" s="43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4"/>
      <c r="U324" s="42"/>
      <c r="V324" s="42"/>
      <c r="W324" s="42"/>
      <c r="X324" s="42"/>
      <c r="Y324" s="42"/>
      <c r="Z324" s="42"/>
    </row>
    <row r="325" ht="15.75" customHeight="1" spans="1:26" x14ac:dyDescent="0.25">
      <c r="A325" s="42"/>
      <c r="B325" s="42"/>
      <c r="C325" s="42"/>
      <c r="D325" s="42"/>
      <c r="E325" s="42"/>
      <c r="F325" s="42"/>
      <c r="G325" s="43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4"/>
      <c r="U325" s="42"/>
      <c r="V325" s="42"/>
      <c r="W325" s="42"/>
      <c r="X325" s="42"/>
      <c r="Y325" s="42"/>
      <c r="Z325" s="42"/>
    </row>
    <row r="326" ht="15.75" customHeight="1" spans="1:26" x14ac:dyDescent="0.25">
      <c r="A326" s="42"/>
      <c r="B326" s="42"/>
      <c r="C326" s="42"/>
      <c r="D326" s="42"/>
      <c r="E326" s="42"/>
      <c r="F326" s="42"/>
      <c r="G326" s="43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4"/>
      <c r="U326" s="42"/>
      <c r="V326" s="42"/>
      <c r="W326" s="42"/>
      <c r="X326" s="42"/>
      <c r="Y326" s="42"/>
      <c r="Z326" s="42"/>
    </row>
    <row r="327" ht="15.75" customHeight="1" spans="1:26" x14ac:dyDescent="0.25">
      <c r="A327" s="42"/>
      <c r="B327" s="42"/>
      <c r="C327" s="42"/>
      <c r="D327" s="42"/>
      <c r="E327" s="42"/>
      <c r="F327" s="42"/>
      <c r="G327" s="43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4"/>
      <c r="U327" s="42"/>
      <c r="V327" s="42"/>
      <c r="W327" s="42"/>
      <c r="X327" s="42"/>
      <c r="Y327" s="42"/>
      <c r="Z327" s="42"/>
    </row>
    <row r="328" ht="15.75" customHeight="1" spans="1:26" x14ac:dyDescent="0.25">
      <c r="A328" s="42"/>
      <c r="B328" s="42"/>
      <c r="C328" s="42"/>
      <c r="D328" s="42"/>
      <c r="E328" s="42"/>
      <c r="F328" s="42"/>
      <c r="G328" s="43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4"/>
      <c r="U328" s="42"/>
      <c r="V328" s="42"/>
      <c r="W328" s="42"/>
      <c r="X328" s="42"/>
      <c r="Y328" s="42"/>
      <c r="Z328" s="42"/>
    </row>
    <row r="329" ht="15.75" customHeight="1" spans="1:26" x14ac:dyDescent="0.25">
      <c r="A329" s="42"/>
      <c r="B329" s="42"/>
      <c r="C329" s="42"/>
      <c r="D329" s="42"/>
      <c r="E329" s="42"/>
      <c r="F329" s="42"/>
      <c r="G329" s="43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4"/>
      <c r="U329" s="42"/>
      <c r="V329" s="42"/>
      <c r="W329" s="42"/>
      <c r="X329" s="42"/>
      <c r="Y329" s="42"/>
      <c r="Z329" s="42"/>
    </row>
    <row r="330" ht="15.75" customHeight="1" spans="1:26" x14ac:dyDescent="0.25">
      <c r="A330" s="42"/>
      <c r="B330" s="42"/>
      <c r="C330" s="42"/>
      <c r="D330" s="42"/>
      <c r="E330" s="42"/>
      <c r="F330" s="42"/>
      <c r="G330" s="43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4"/>
      <c r="U330" s="42"/>
      <c r="V330" s="42"/>
      <c r="W330" s="42"/>
      <c r="X330" s="42"/>
      <c r="Y330" s="42"/>
      <c r="Z330" s="42"/>
    </row>
    <row r="331" ht="15.75" customHeight="1" spans="1:26" x14ac:dyDescent="0.25">
      <c r="A331" s="42"/>
      <c r="B331" s="42"/>
      <c r="C331" s="42"/>
      <c r="D331" s="42"/>
      <c r="E331" s="42"/>
      <c r="F331" s="42"/>
      <c r="G331" s="43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4"/>
      <c r="U331" s="42"/>
      <c r="V331" s="42"/>
      <c r="W331" s="42"/>
      <c r="X331" s="42"/>
      <c r="Y331" s="42"/>
      <c r="Z331" s="42"/>
    </row>
    <row r="332" ht="15.75" customHeight="1" spans="1:26" x14ac:dyDescent="0.25">
      <c r="A332" s="42"/>
      <c r="B332" s="42"/>
      <c r="C332" s="42"/>
      <c r="D332" s="42"/>
      <c r="E332" s="42"/>
      <c r="F332" s="42"/>
      <c r="G332" s="43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4"/>
      <c r="U332" s="42"/>
      <c r="V332" s="42"/>
      <c r="W332" s="42"/>
      <c r="X332" s="42"/>
      <c r="Y332" s="42"/>
      <c r="Z332" s="42"/>
    </row>
    <row r="333" ht="15.75" customHeight="1" spans="1:26" x14ac:dyDescent="0.25">
      <c r="A333" s="42"/>
      <c r="B333" s="42"/>
      <c r="C333" s="42"/>
      <c r="D333" s="42"/>
      <c r="E333" s="42"/>
      <c r="F333" s="42"/>
      <c r="G333" s="43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4"/>
      <c r="U333" s="42"/>
      <c r="V333" s="42"/>
      <c r="W333" s="42"/>
      <c r="X333" s="42"/>
      <c r="Y333" s="42"/>
      <c r="Z333" s="42"/>
    </row>
    <row r="334" ht="15.75" customHeight="1" spans="1:26" x14ac:dyDescent="0.25">
      <c r="A334" s="42"/>
      <c r="B334" s="42"/>
      <c r="C334" s="42"/>
      <c r="D334" s="42"/>
      <c r="E334" s="42"/>
      <c r="F334" s="42"/>
      <c r="G334" s="43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4"/>
      <c r="U334" s="42"/>
      <c r="V334" s="42"/>
      <c r="W334" s="42"/>
      <c r="X334" s="42"/>
      <c r="Y334" s="42"/>
      <c r="Z334" s="42"/>
    </row>
    <row r="335" ht="15.75" customHeight="1" spans="1:26" x14ac:dyDescent="0.25">
      <c r="A335" s="42"/>
      <c r="B335" s="42"/>
      <c r="C335" s="42"/>
      <c r="D335" s="42"/>
      <c r="E335" s="42"/>
      <c r="F335" s="42"/>
      <c r="G335" s="43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4"/>
      <c r="U335" s="42"/>
      <c r="V335" s="42"/>
      <c r="W335" s="42"/>
      <c r="X335" s="42"/>
      <c r="Y335" s="42"/>
      <c r="Z335" s="42"/>
    </row>
    <row r="336" ht="15.75" customHeight="1" spans="1:26" x14ac:dyDescent="0.25">
      <c r="A336" s="42"/>
      <c r="B336" s="42"/>
      <c r="C336" s="42"/>
      <c r="D336" s="42"/>
      <c r="E336" s="42"/>
      <c r="F336" s="42"/>
      <c r="G336" s="43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4"/>
      <c r="U336" s="42"/>
      <c r="V336" s="42"/>
      <c r="W336" s="42"/>
      <c r="X336" s="42"/>
      <c r="Y336" s="42"/>
      <c r="Z336" s="42"/>
    </row>
    <row r="337" ht="15.75" customHeight="1" spans="1:26" x14ac:dyDescent="0.25">
      <c r="A337" s="42"/>
      <c r="B337" s="42"/>
      <c r="C337" s="42"/>
      <c r="D337" s="42"/>
      <c r="E337" s="42"/>
      <c r="F337" s="42"/>
      <c r="G337" s="43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4"/>
      <c r="U337" s="42"/>
      <c r="V337" s="42"/>
      <c r="W337" s="42"/>
      <c r="X337" s="42"/>
      <c r="Y337" s="42"/>
      <c r="Z337" s="42"/>
    </row>
    <row r="338" ht="15.75" customHeight="1" spans="1:26" x14ac:dyDescent="0.25">
      <c r="A338" s="42"/>
      <c r="B338" s="42"/>
      <c r="C338" s="42"/>
      <c r="D338" s="42"/>
      <c r="E338" s="42"/>
      <c r="F338" s="42"/>
      <c r="G338" s="43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4"/>
      <c r="U338" s="42"/>
      <c r="V338" s="42"/>
      <c r="W338" s="42"/>
      <c r="X338" s="42"/>
      <c r="Y338" s="42"/>
      <c r="Z338" s="42"/>
    </row>
    <row r="339" ht="15.75" customHeight="1" spans="1:26" x14ac:dyDescent="0.25">
      <c r="A339" s="42"/>
      <c r="B339" s="42"/>
      <c r="C339" s="42"/>
      <c r="D339" s="42"/>
      <c r="E339" s="42"/>
      <c r="F339" s="42"/>
      <c r="G339" s="43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4"/>
      <c r="U339" s="42"/>
      <c r="V339" s="42"/>
      <c r="W339" s="42"/>
      <c r="X339" s="42"/>
      <c r="Y339" s="42"/>
      <c r="Z339" s="42"/>
    </row>
    <row r="340" ht="15.75" customHeight="1" spans="1:26" x14ac:dyDescent="0.25">
      <c r="A340" s="42"/>
      <c r="B340" s="42"/>
      <c r="C340" s="42"/>
      <c r="D340" s="42"/>
      <c r="E340" s="42"/>
      <c r="F340" s="42"/>
      <c r="G340" s="43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4"/>
      <c r="U340" s="42"/>
      <c r="V340" s="42"/>
      <c r="W340" s="42"/>
      <c r="X340" s="42"/>
      <c r="Y340" s="42"/>
      <c r="Z340" s="42"/>
    </row>
    <row r="341" ht="15.75" customHeight="1" spans="1:26" x14ac:dyDescent="0.25">
      <c r="A341" s="42"/>
      <c r="B341" s="42"/>
      <c r="C341" s="42"/>
      <c r="D341" s="42"/>
      <c r="E341" s="42"/>
      <c r="F341" s="42"/>
      <c r="G341" s="43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4"/>
      <c r="U341" s="42"/>
      <c r="V341" s="42"/>
      <c r="W341" s="42"/>
      <c r="X341" s="42"/>
      <c r="Y341" s="42"/>
      <c r="Z341" s="42"/>
    </row>
    <row r="342" ht="15.75" customHeight="1" spans="1:26" x14ac:dyDescent="0.25">
      <c r="A342" s="42"/>
      <c r="B342" s="42"/>
      <c r="C342" s="42"/>
      <c r="D342" s="42"/>
      <c r="E342" s="42"/>
      <c r="F342" s="42"/>
      <c r="G342" s="43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4"/>
      <c r="U342" s="42"/>
      <c r="V342" s="42"/>
      <c r="W342" s="42"/>
      <c r="X342" s="42"/>
      <c r="Y342" s="42"/>
      <c r="Z342" s="42"/>
    </row>
    <row r="343" ht="15.75" customHeight="1" spans="1:26" x14ac:dyDescent="0.25">
      <c r="A343" s="42"/>
      <c r="B343" s="42"/>
      <c r="C343" s="42"/>
      <c r="D343" s="42"/>
      <c r="E343" s="42"/>
      <c r="F343" s="42"/>
      <c r="G343" s="43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4"/>
      <c r="U343" s="42"/>
      <c r="V343" s="42"/>
      <c r="W343" s="42"/>
      <c r="X343" s="42"/>
      <c r="Y343" s="42"/>
      <c r="Z343" s="42"/>
    </row>
    <row r="344" ht="15.75" customHeight="1" spans="1:26" x14ac:dyDescent="0.25">
      <c r="A344" s="42"/>
      <c r="B344" s="42"/>
      <c r="C344" s="42"/>
      <c r="D344" s="42"/>
      <c r="E344" s="42"/>
      <c r="F344" s="42"/>
      <c r="G344" s="43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4"/>
      <c r="U344" s="42"/>
      <c r="V344" s="42"/>
      <c r="W344" s="42"/>
      <c r="X344" s="42"/>
      <c r="Y344" s="42"/>
      <c r="Z344" s="42"/>
    </row>
    <row r="345" ht="15.75" customHeight="1" spans="1:26" x14ac:dyDescent="0.25">
      <c r="A345" s="42"/>
      <c r="B345" s="42"/>
      <c r="C345" s="42"/>
      <c r="D345" s="42"/>
      <c r="E345" s="42"/>
      <c r="F345" s="42"/>
      <c r="G345" s="43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4"/>
      <c r="U345" s="42"/>
      <c r="V345" s="42"/>
      <c r="W345" s="42"/>
      <c r="X345" s="42"/>
      <c r="Y345" s="42"/>
      <c r="Z345" s="42"/>
    </row>
    <row r="346" ht="15.75" customHeight="1" spans="1:26" x14ac:dyDescent="0.25">
      <c r="A346" s="42"/>
      <c r="B346" s="42"/>
      <c r="C346" s="42"/>
      <c r="D346" s="42"/>
      <c r="E346" s="42"/>
      <c r="F346" s="42"/>
      <c r="G346" s="43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4"/>
      <c r="U346" s="42"/>
      <c r="V346" s="42"/>
      <c r="W346" s="42"/>
      <c r="X346" s="42"/>
      <c r="Y346" s="42"/>
      <c r="Z346" s="42"/>
    </row>
    <row r="347" ht="15.75" customHeight="1" spans="1:26" x14ac:dyDescent="0.25">
      <c r="A347" s="42"/>
      <c r="B347" s="42"/>
      <c r="C347" s="42"/>
      <c r="D347" s="42"/>
      <c r="E347" s="42"/>
      <c r="F347" s="42"/>
      <c r="G347" s="43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4"/>
      <c r="U347" s="42"/>
      <c r="V347" s="42"/>
      <c r="W347" s="42"/>
      <c r="X347" s="42"/>
      <c r="Y347" s="42"/>
      <c r="Z347" s="42"/>
    </row>
    <row r="348" ht="15.75" customHeight="1" spans="1:26" x14ac:dyDescent="0.25">
      <c r="A348" s="42"/>
      <c r="B348" s="42"/>
      <c r="C348" s="42"/>
      <c r="D348" s="42"/>
      <c r="E348" s="42"/>
      <c r="F348" s="42"/>
      <c r="G348" s="43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4"/>
      <c r="U348" s="42"/>
      <c r="V348" s="42"/>
      <c r="W348" s="42"/>
      <c r="X348" s="42"/>
      <c r="Y348" s="42"/>
      <c r="Z348" s="42"/>
    </row>
    <row r="349" ht="15.75" customHeight="1" spans="1:26" x14ac:dyDescent="0.25">
      <c r="A349" s="42"/>
      <c r="B349" s="42"/>
      <c r="C349" s="42"/>
      <c r="D349" s="42"/>
      <c r="E349" s="42"/>
      <c r="F349" s="42"/>
      <c r="G349" s="43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4"/>
      <c r="U349" s="42"/>
      <c r="V349" s="42"/>
      <c r="W349" s="42"/>
      <c r="X349" s="42"/>
      <c r="Y349" s="42"/>
      <c r="Z349" s="42"/>
    </row>
    <row r="350" ht="15.75" customHeight="1" spans="1:26" x14ac:dyDescent="0.25">
      <c r="A350" s="42"/>
      <c r="B350" s="42"/>
      <c r="C350" s="42"/>
      <c r="D350" s="42"/>
      <c r="E350" s="42"/>
      <c r="F350" s="42"/>
      <c r="G350" s="43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4"/>
      <c r="U350" s="42"/>
      <c r="V350" s="42"/>
      <c r="W350" s="42"/>
      <c r="X350" s="42"/>
      <c r="Y350" s="42"/>
      <c r="Z350" s="42"/>
    </row>
    <row r="351" ht="15.75" customHeight="1" spans="1:26" x14ac:dyDescent="0.25">
      <c r="A351" s="42"/>
      <c r="B351" s="42"/>
      <c r="C351" s="42"/>
      <c r="D351" s="42"/>
      <c r="E351" s="42"/>
      <c r="F351" s="42"/>
      <c r="G351" s="43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4"/>
      <c r="U351" s="42"/>
      <c r="V351" s="42"/>
      <c r="W351" s="42"/>
      <c r="X351" s="42"/>
      <c r="Y351" s="42"/>
      <c r="Z351" s="42"/>
    </row>
    <row r="352" ht="15.75" customHeight="1" spans="1:26" x14ac:dyDescent="0.25">
      <c r="A352" s="42"/>
      <c r="B352" s="42"/>
      <c r="C352" s="42"/>
      <c r="D352" s="42"/>
      <c r="E352" s="42"/>
      <c r="F352" s="42"/>
      <c r="G352" s="43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4"/>
      <c r="U352" s="42"/>
      <c r="V352" s="42"/>
      <c r="W352" s="42"/>
      <c r="X352" s="42"/>
      <c r="Y352" s="42"/>
      <c r="Z352" s="42"/>
    </row>
    <row r="353" ht="15.75" customHeight="1" spans="1:26" x14ac:dyDescent="0.25">
      <c r="A353" s="42"/>
      <c r="B353" s="42"/>
      <c r="C353" s="42"/>
      <c r="D353" s="42"/>
      <c r="E353" s="42"/>
      <c r="F353" s="42"/>
      <c r="G353" s="43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4"/>
      <c r="U353" s="42"/>
      <c r="V353" s="42"/>
      <c r="W353" s="42"/>
      <c r="X353" s="42"/>
      <c r="Y353" s="42"/>
      <c r="Z353" s="42"/>
    </row>
    <row r="354" ht="15.75" customHeight="1" spans="1:26" x14ac:dyDescent="0.25">
      <c r="A354" s="42"/>
      <c r="B354" s="42"/>
      <c r="C354" s="42"/>
      <c r="D354" s="42"/>
      <c r="E354" s="42"/>
      <c r="F354" s="42"/>
      <c r="G354" s="43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4"/>
      <c r="U354" s="42"/>
      <c r="V354" s="42"/>
      <c r="W354" s="42"/>
      <c r="X354" s="42"/>
      <c r="Y354" s="42"/>
      <c r="Z354" s="42"/>
    </row>
    <row r="355" ht="15.75" customHeight="1" spans="1:26" x14ac:dyDescent="0.25">
      <c r="A355" s="42"/>
      <c r="B355" s="42"/>
      <c r="C355" s="42"/>
      <c r="D355" s="42"/>
      <c r="E355" s="42"/>
      <c r="F355" s="42"/>
      <c r="G355" s="43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4"/>
      <c r="U355" s="42"/>
      <c r="V355" s="42"/>
      <c r="W355" s="42"/>
      <c r="X355" s="42"/>
      <c r="Y355" s="42"/>
      <c r="Z355" s="42"/>
    </row>
    <row r="356" ht="15.75" customHeight="1" spans="1:26" x14ac:dyDescent="0.25">
      <c r="A356" s="42"/>
      <c r="B356" s="42"/>
      <c r="C356" s="42"/>
      <c r="D356" s="42"/>
      <c r="E356" s="42"/>
      <c r="F356" s="42"/>
      <c r="G356" s="43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4"/>
      <c r="U356" s="42"/>
      <c r="V356" s="42"/>
      <c r="W356" s="42"/>
      <c r="X356" s="42"/>
      <c r="Y356" s="42"/>
      <c r="Z356" s="42"/>
    </row>
    <row r="357" ht="15.75" customHeight="1" spans="1:26" x14ac:dyDescent="0.25">
      <c r="A357" s="42"/>
      <c r="B357" s="42"/>
      <c r="C357" s="42"/>
      <c r="D357" s="42"/>
      <c r="E357" s="42"/>
      <c r="F357" s="42"/>
      <c r="G357" s="43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4"/>
      <c r="U357" s="42"/>
      <c r="V357" s="42"/>
      <c r="W357" s="42"/>
      <c r="X357" s="42"/>
      <c r="Y357" s="42"/>
      <c r="Z357" s="42"/>
    </row>
    <row r="358" ht="15.75" customHeight="1" spans="1:26" x14ac:dyDescent="0.25">
      <c r="A358" s="42"/>
      <c r="B358" s="42"/>
      <c r="C358" s="42"/>
      <c r="D358" s="42"/>
      <c r="E358" s="42"/>
      <c r="F358" s="42"/>
      <c r="G358" s="43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4"/>
      <c r="U358" s="42"/>
      <c r="V358" s="42"/>
      <c r="W358" s="42"/>
      <c r="X358" s="42"/>
      <c r="Y358" s="42"/>
      <c r="Z358" s="42"/>
    </row>
    <row r="359" ht="15.75" customHeight="1" spans="1:26" x14ac:dyDescent="0.25">
      <c r="A359" s="42"/>
      <c r="B359" s="42"/>
      <c r="C359" s="42"/>
      <c r="D359" s="42"/>
      <c r="E359" s="42"/>
      <c r="F359" s="42"/>
      <c r="G359" s="43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4"/>
      <c r="U359" s="42"/>
      <c r="V359" s="42"/>
      <c r="W359" s="42"/>
      <c r="X359" s="42"/>
      <c r="Y359" s="42"/>
      <c r="Z359" s="42"/>
    </row>
    <row r="360" ht="15.75" customHeight="1" spans="1:26" x14ac:dyDescent="0.25">
      <c r="A360" s="42"/>
      <c r="B360" s="42"/>
      <c r="C360" s="42"/>
      <c r="D360" s="42"/>
      <c r="E360" s="42"/>
      <c r="F360" s="42"/>
      <c r="G360" s="43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4"/>
      <c r="U360" s="42"/>
      <c r="V360" s="42"/>
      <c r="W360" s="42"/>
      <c r="X360" s="42"/>
      <c r="Y360" s="42"/>
      <c r="Z360" s="42"/>
    </row>
    <row r="361" ht="15.75" customHeight="1" spans="1:26" x14ac:dyDescent="0.25">
      <c r="A361" s="42"/>
      <c r="B361" s="42"/>
      <c r="C361" s="42"/>
      <c r="D361" s="42"/>
      <c r="E361" s="42"/>
      <c r="F361" s="42"/>
      <c r="G361" s="43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4"/>
      <c r="U361" s="42"/>
      <c r="V361" s="42"/>
      <c r="W361" s="42"/>
      <c r="X361" s="42"/>
      <c r="Y361" s="42"/>
      <c r="Z361" s="42"/>
    </row>
    <row r="362" ht="15.75" customHeight="1" spans="1:26" x14ac:dyDescent="0.25">
      <c r="A362" s="42"/>
      <c r="B362" s="42"/>
      <c r="C362" s="42"/>
      <c r="D362" s="42"/>
      <c r="E362" s="42"/>
      <c r="F362" s="42"/>
      <c r="G362" s="43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4"/>
      <c r="U362" s="42"/>
      <c r="V362" s="42"/>
      <c r="W362" s="42"/>
      <c r="X362" s="42"/>
      <c r="Y362" s="42"/>
      <c r="Z362" s="42"/>
    </row>
    <row r="363" ht="15.75" customHeight="1" spans="1:26" x14ac:dyDescent="0.25">
      <c r="A363" s="42"/>
      <c r="B363" s="42"/>
      <c r="C363" s="42"/>
      <c r="D363" s="42"/>
      <c r="E363" s="42"/>
      <c r="F363" s="42"/>
      <c r="G363" s="43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4"/>
      <c r="U363" s="42"/>
      <c r="V363" s="42"/>
      <c r="W363" s="42"/>
      <c r="X363" s="42"/>
      <c r="Y363" s="42"/>
      <c r="Z363" s="42"/>
    </row>
    <row r="364" ht="15.75" customHeight="1" spans="1:26" x14ac:dyDescent="0.25">
      <c r="A364" s="42"/>
      <c r="B364" s="42"/>
      <c r="C364" s="42"/>
      <c r="D364" s="42"/>
      <c r="E364" s="42"/>
      <c r="F364" s="42"/>
      <c r="G364" s="43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4"/>
      <c r="U364" s="42"/>
      <c r="V364" s="42"/>
      <c r="W364" s="42"/>
      <c r="X364" s="42"/>
      <c r="Y364" s="42"/>
      <c r="Z364" s="42"/>
    </row>
    <row r="365" ht="15.75" customHeight="1" spans="1:26" x14ac:dyDescent="0.25">
      <c r="A365" s="42"/>
      <c r="B365" s="42"/>
      <c r="C365" s="42"/>
      <c r="D365" s="42"/>
      <c r="E365" s="42"/>
      <c r="F365" s="42"/>
      <c r="G365" s="43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4"/>
      <c r="U365" s="42"/>
      <c r="V365" s="42"/>
      <c r="W365" s="42"/>
      <c r="X365" s="42"/>
      <c r="Y365" s="42"/>
      <c r="Z365" s="42"/>
    </row>
    <row r="366" ht="15.75" customHeight="1" spans="1:26" x14ac:dyDescent="0.25">
      <c r="A366" s="42"/>
      <c r="B366" s="42"/>
      <c r="C366" s="42"/>
      <c r="D366" s="42"/>
      <c r="E366" s="42"/>
      <c r="F366" s="42"/>
      <c r="G366" s="43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4"/>
      <c r="U366" s="42"/>
      <c r="V366" s="42"/>
      <c r="W366" s="42"/>
      <c r="X366" s="42"/>
      <c r="Y366" s="42"/>
      <c r="Z366" s="42"/>
    </row>
    <row r="367" ht="15.75" customHeight="1" spans="1:26" x14ac:dyDescent="0.25">
      <c r="A367" s="42"/>
      <c r="B367" s="42"/>
      <c r="C367" s="42"/>
      <c r="D367" s="42"/>
      <c r="E367" s="42"/>
      <c r="F367" s="42"/>
      <c r="G367" s="43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4"/>
      <c r="U367" s="42"/>
      <c r="V367" s="42"/>
      <c r="W367" s="42"/>
      <c r="X367" s="42"/>
      <c r="Y367" s="42"/>
      <c r="Z367" s="42"/>
    </row>
    <row r="368" ht="15.75" customHeight="1" spans="1:26" x14ac:dyDescent="0.25">
      <c r="A368" s="42"/>
      <c r="B368" s="42"/>
      <c r="C368" s="42"/>
      <c r="D368" s="42"/>
      <c r="E368" s="42"/>
      <c r="F368" s="42"/>
      <c r="G368" s="43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4"/>
      <c r="U368" s="42"/>
      <c r="V368" s="42"/>
      <c r="W368" s="42"/>
      <c r="X368" s="42"/>
      <c r="Y368" s="42"/>
      <c r="Z368" s="42"/>
    </row>
    <row r="369" ht="15.75" customHeight="1" spans="1:26" x14ac:dyDescent="0.25">
      <c r="A369" s="42"/>
      <c r="B369" s="42"/>
      <c r="C369" s="42"/>
      <c r="D369" s="42"/>
      <c r="E369" s="42"/>
      <c r="F369" s="42"/>
      <c r="G369" s="43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4"/>
      <c r="U369" s="42"/>
      <c r="V369" s="42"/>
      <c r="W369" s="42"/>
      <c r="X369" s="42"/>
      <c r="Y369" s="42"/>
      <c r="Z369" s="42"/>
    </row>
    <row r="370" ht="15.75" customHeight="1" spans="1:26" x14ac:dyDescent="0.25">
      <c r="A370" s="42"/>
      <c r="B370" s="42"/>
      <c r="C370" s="42"/>
      <c r="D370" s="42"/>
      <c r="E370" s="42"/>
      <c r="F370" s="42"/>
      <c r="G370" s="43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4"/>
      <c r="U370" s="42"/>
      <c r="V370" s="42"/>
      <c r="W370" s="42"/>
      <c r="X370" s="42"/>
      <c r="Y370" s="42"/>
      <c r="Z370" s="42"/>
    </row>
    <row r="371" ht="15.75" customHeight="1" spans="1:26" x14ac:dyDescent="0.25">
      <c r="A371" s="42"/>
      <c r="B371" s="42"/>
      <c r="C371" s="42"/>
      <c r="D371" s="42"/>
      <c r="E371" s="42"/>
      <c r="F371" s="42"/>
      <c r="G371" s="43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4"/>
      <c r="U371" s="42"/>
      <c r="V371" s="42"/>
      <c r="W371" s="42"/>
      <c r="X371" s="42"/>
      <c r="Y371" s="42"/>
      <c r="Z371" s="42"/>
    </row>
    <row r="372" ht="15.75" customHeight="1" spans="1:26" x14ac:dyDescent="0.25">
      <c r="A372" s="42"/>
      <c r="B372" s="42"/>
      <c r="C372" s="42"/>
      <c r="D372" s="42"/>
      <c r="E372" s="42"/>
      <c r="F372" s="42"/>
      <c r="G372" s="43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4"/>
      <c r="U372" s="42"/>
      <c r="V372" s="42"/>
      <c r="W372" s="42"/>
      <c r="X372" s="42"/>
      <c r="Y372" s="42"/>
      <c r="Z372" s="42"/>
    </row>
    <row r="373" ht="15.75" customHeight="1" spans="1:26" x14ac:dyDescent="0.25">
      <c r="A373" s="42"/>
      <c r="B373" s="42"/>
      <c r="C373" s="42"/>
      <c r="D373" s="42"/>
      <c r="E373" s="42"/>
      <c r="F373" s="42"/>
      <c r="G373" s="43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4"/>
      <c r="U373" s="42"/>
      <c r="V373" s="42"/>
      <c r="W373" s="42"/>
      <c r="X373" s="42"/>
      <c r="Y373" s="42"/>
      <c r="Z373" s="42"/>
    </row>
    <row r="374" ht="15.75" customHeight="1" spans="1:26" x14ac:dyDescent="0.25">
      <c r="A374" s="42"/>
      <c r="B374" s="42"/>
      <c r="C374" s="42"/>
      <c r="D374" s="42"/>
      <c r="E374" s="42"/>
      <c r="F374" s="42"/>
      <c r="G374" s="43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4"/>
      <c r="U374" s="42"/>
      <c r="V374" s="42"/>
      <c r="W374" s="42"/>
      <c r="X374" s="42"/>
      <c r="Y374" s="42"/>
      <c r="Z374" s="42"/>
    </row>
    <row r="375" ht="15.75" customHeight="1" spans="1:26" x14ac:dyDescent="0.25">
      <c r="A375" s="42"/>
      <c r="B375" s="42"/>
      <c r="C375" s="42"/>
      <c r="D375" s="42"/>
      <c r="E375" s="42"/>
      <c r="F375" s="42"/>
      <c r="G375" s="43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4"/>
      <c r="U375" s="42"/>
      <c r="V375" s="42"/>
      <c r="W375" s="42"/>
      <c r="X375" s="42"/>
      <c r="Y375" s="42"/>
      <c r="Z375" s="42"/>
    </row>
    <row r="376" ht="15.75" customHeight="1" spans="1:26" x14ac:dyDescent="0.25">
      <c r="A376" s="42"/>
      <c r="B376" s="42"/>
      <c r="C376" s="42"/>
      <c r="D376" s="42"/>
      <c r="E376" s="42"/>
      <c r="F376" s="42"/>
      <c r="G376" s="43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4"/>
      <c r="U376" s="42"/>
      <c r="V376" s="42"/>
      <c r="W376" s="42"/>
      <c r="X376" s="42"/>
      <c r="Y376" s="42"/>
      <c r="Z376" s="42"/>
    </row>
    <row r="377" ht="15.75" customHeight="1" spans="1:26" x14ac:dyDescent="0.25">
      <c r="A377" s="42"/>
      <c r="B377" s="42"/>
      <c r="C377" s="42"/>
      <c r="D377" s="42"/>
      <c r="E377" s="42"/>
      <c r="F377" s="42"/>
      <c r="G377" s="43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4"/>
      <c r="U377" s="42"/>
      <c r="V377" s="42"/>
      <c r="W377" s="42"/>
      <c r="X377" s="42"/>
      <c r="Y377" s="42"/>
      <c r="Z377" s="42"/>
    </row>
    <row r="378" ht="15.75" customHeight="1" spans="1:26" x14ac:dyDescent="0.25">
      <c r="A378" s="42"/>
      <c r="B378" s="42"/>
      <c r="C378" s="42"/>
      <c r="D378" s="42"/>
      <c r="E378" s="42"/>
      <c r="F378" s="42"/>
      <c r="G378" s="43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4"/>
      <c r="U378" s="42"/>
      <c r="V378" s="42"/>
      <c r="W378" s="42"/>
      <c r="X378" s="42"/>
      <c r="Y378" s="42"/>
      <c r="Z378" s="42"/>
    </row>
    <row r="379" ht="15.75" customHeight="1" spans="1:26" x14ac:dyDescent="0.25">
      <c r="A379" s="42"/>
      <c r="B379" s="42"/>
      <c r="C379" s="42"/>
      <c r="D379" s="42"/>
      <c r="E379" s="42"/>
      <c r="F379" s="42"/>
      <c r="G379" s="43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4"/>
      <c r="U379" s="42"/>
      <c r="V379" s="42"/>
      <c r="W379" s="42"/>
      <c r="X379" s="42"/>
      <c r="Y379" s="42"/>
      <c r="Z379" s="42"/>
    </row>
    <row r="380" ht="15.75" customHeight="1" spans="1:26" x14ac:dyDescent="0.25">
      <c r="A380" s="42"/>
      <c r="B380" s="42"/>
      <c r="C380" s="42"/>
      <c r="D380" s="42"/>
      <c r="E380" s="42"/>
      <c r="F380" s="42"/>
      <c r="G380" s="43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4"/>
      <c r="U380" s="42"/>
      <c r="V380" s="42"/>
      <c r="W380" s="42"/>
      <c r="X380" s="42"/>
      <c r="Y380" s="42"/>
      <c r="Z380" s="42"/>
    </row>
    <row r="381" ht="15.75" customHeight="1" spans="1:26" x14ac:dyDescent="0.25">
      <c r="A381" s="42"/>
      <c r="B381" s="42"/>
      <c r="C381" s="42"/>
      <c r="D381" s="42"/>
      <c r="E381" s="42"/>
      <c r="F381" s="42"/>
      <c r="G381" s="43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4"/>
      <c r="U381" s="42"/>
      <c r="V381" s="42"/>
      <c r="W381" s="42"/>
      <c r="X381" s="42"/>
      <c r="Y381" s="42"/>
      <c r="Z381" s="42"/>
    </row>
    <row r="382" ht="15.75" customHeight="1" spans="1:26" x14ac:dyDescent="0.25">
      <c r="A382" s="42"/>
      <c r="B382" s="42"/>
      <c r="C382" s="42"/>
      <c r="D382" s="42"/>
      <c r="E382" s="42"/>
      <c r="F382" s="42"/>
      <c r="G382" s="43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4"/>
      <c r="U382" s="42"/>
      <c r="V382" s="42"/>
      <c r="W382" s="42"/>
      <c r="X382" s="42"/>
      <c r="Y382" s="42"/>
      <c r="Z382" s="42"/>
    </row>
    <row r="383" ht="15.75" customHeight="1" spans="1:26" x14ac:dyDescent="0.25">
      <c r="A383" s="42"/>
      <c r="B383" s="42"/>
      <c r="C383" s="42"/>
      <c r="D383" s="42"/>
      <c r="E383" s="42"/>
      <c r="F383" s="42"/>
      <c r="G383" s="43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4"/>
      <c r="U383" s="42"/>
      <c r="V383" s="42"/>
      <c r="W383" s="42"/>
      <c r="X383" s="42"/>
      <c r="Y383" s="42"/>
      <c r="Z383" s="42"/>
    </row>
    <row r="384" ht="15.75" customHeight="1" spans="1:26" x14ac:dyDescent="0.25">
      <c r="A384" s="42"/>
      <c r="B384" s="42"/>
      <c r="C384" s="42"/>
      <c r="D384" s="42"/>
      <c r="E384" s="42"/>
      <c r="F384" s="42"/>
      <c r="G384" s="43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4"/>
      <c r="U384" s="42"/>
      <c r="V384" s="42"/>
      <c r="W384" s="42"/>
      <c r="X384" s="42"/>
      <c r="Y384" s="42"/>
      <c r="Z384" s="42"/>
    </row>
    <row r="385" ht="15.75" customHeight="1" spans="1:26" x14ac:dyDescent="0.25">
      <c r="A385" s="42"/>
      <c r="B385" s="42"/>
      <c r="C385" s="42"/>
      <c r="D385" s="42"/>
      <c r="E385" s="42"/>
      <c r="F385" s="42"/>
      <c r="G385" s="43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4"/>
      <c r="U385" s="42"/>
      <c r="V385" s="42"/>
      <c r="W385" s="42"/>
      <c r="X385" s="42"/>
      <c r="Y385" s="42"/>
      <c r="Z385" s="42"/>
    </row>
    <row r="386" ht="15.75" customHeight="1" spans="1:26" x14ac:dyDescent="0.25">
      <c r="A386" s="42"/>
      <c r="B386" s="42"/>
      <c r="C386" s="42"/>
      <c r="D386" s="42"/>
      <c r="E386" s="42"/>
      <c r="F386" s="42"/>
      <c r="G386" s="43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4"/>
      <c r="U386" s="42"/>
      <c r="V386" s="42"/>
      <c r="W386" s="42"/>
      <c r="X386" s="42"/>
      <c r="Y386" s="42"/>
      <c r="Z386" s="42"/>
    </row>
    <row r="387" ht="15.75" customHeight="1" spans="1:26" x14ac:dyDescent="0.25">
      <c r="A387" s="42"/>
      <c r="B387" s="42"/>
      <c r="C387" s="42"/>
      <c r="D387" s="42"/>
      <c r="E387" s="42"/>
      <c r="F387" s="42"/>
      <c r="G387" s="43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4"/>
      <c r="U387" s="42"/>
      <c r="V387" s="42"/>
      <c r="W387" s="42"/>
      <c r="X387" s="42"/>
      <c r="Y387" s="42"/>
      <c r="Z387" s="42"/>
    </row>
    <row r="388" ht="15.75" customHeight="1" spans="1:26" x14ac:dyDescent="0.25">
      <c r="A388" s="42"/>
      <c r="B388" s="42"/>
      <c r="C388" s="42"/>
      <c r="D388" s="42"/>
      <c r="E388" s="42"/>
      <c r="F388" s="42"/>
      <c r="G388" s="43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4"/>
      <c r="U388" s="42"/>
      <c r="V388" s="42"/>
      <c r="W388" s="42"/>
      <c r="X388" s="42"/>
      <c r="Y388" s="42"/>
      <c r="Z388" s="42"/>
    </row>
    <row r="389" ht="15.75" customHeight="1" spans="1:26" x14ac:dyDescent="0.25">
      <c r="A389" s="42"/>
      <c r="B389" s="42"/>
      <c r="C389" s="42"/>
      <c r="D389" s="42"/>
      <c r="E389" s="42"/>
      <c r="F389" s="42"/>
      <c r="G389" s="43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4"/>
      <c r="U389" s="42"/>
      <c r="V389" s="42"/>
      <c r="W389" s="42"/>
      <c r="X389" s="42"/>
      <c r="Y389" s="42"/>
      <c r="Z389" s="42"/>
    </row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H6:J6"/>
    <mergeCell ref="B6:B7"/>
    <mergeCell ref="C6:C7"/>
    <mergeCell ref="D6:D7"/>
    <mergeCell ref="E6:E7"/>
    <mergeCell ref="F6:F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U6:U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 zoomScale="100" zoomScaleNormal="100">
      <pane ySplit="7" topLeftCell="A8" activePane="bottomLeft" state="frozen"/>
      <selection pane="bottomLeft" activeCell="B9" sqref="B9"/>
    </sheetView>
  </sheetViews>
  <sheetFormatPr defaultRowHeight="15" outlineLevelRow="0" outlineLevelCol="0" x14ac:dyDescent="0.25" defaultColWidth="12.6640625"/>
  <cols>
    <col min="1" max="1" width="11.21875" customWidth="1"/>
    <col min="2" max="2" width="9.44140625" customWidth="1"/>
    <col min="3" max="3" width="28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4" max="14" width="11.6640625" customWidth="1"/>
    <col min="15" max="15" width="10.21875" customWidth="1"/>
    <col min="16" max="16" width="11.33203125" customWidth="1"/>
    <col min="17" max="17" width="10.44140625" customWidth="1"/>
    <col min="18" max="18" width="9.109375" customWidth="1"/>
  </cols>
  <sheetData>
    <row r="1" ht="15.75" customHeight="1" spans="1:25" x14ac:dyDescent="0.25">
      <c r="A1" s="42"/>
      <c r="B1" s="42"/>
      <c r="C1" s="42"/>
      <c r="D1" s="42"/>
      <c r="E1" s="58"/>
      <c r="F1" s="43"/>
      <c r="G1" s="42"/>
      <c r="H1" s="42"/>
      <c r="I1" s="58"/>
      <c r="J1" s="59"/>
      <c r="K1" s="59"/>
      <c r="L1" s="59"/>
      <c r="M1" s="59"/>
      <c r="N1" s="59"/>
      <c r="O1" s="59"/>
      <c r="P1" s="59"/>
      <c r="Q1" s="59"/>
      <c r="R1" s="42"/>
      <c r="S1" s="44"/>
      <c r="T1" s="42"/>
      <c r="U1" s="42"/>
      <c r="V1" s="42"/>
      <c r="W1" s="42"/>
      <c r="X1" s="42"/>
      <c r="Y1" s="42"/>
    </row>
    <row r="2" ht="15.75" customHeight="1" spans="1:25" x14ac:dyDescent="0.25">
      <c r="A2" s="42"/>
      <c r="B2" s="42"/>
      <c r="C2" s="42"/>
      <c r="D2" s="42"/>
      <c r="E2" s="58"/>
      <c r="F2" s="43"/>
      <c r="G2" s="42"/>
      <c r="H2" s="42"/>
      <c r="I2" s="58"/>
      <c r="J2" s="59"/>
      <c r="K2" s="59"/>
      <c r="L2" s="59"/>
      <c r="M2" s="59"/>
      <c r="N2" s="59"/>
      <c r="O2" s="59"/>
      <c r="P2" s="59"/>
      <c r="Q2" s="59"/>
      <c r="R2" s="42"/>
      <c r="S2" s="44"/>
      <c r="T2" s="42"/>
      <c r="U2" s="42"/>
      <c r="V2" s="42"/>
      <c r="W2" s="42"/>
      <c r="X2" s="42"/>
      <c r="Y2" s="42"/>
    </row>
    <row r="3" ht="15.75" customHeight="1" spans="1:25" x14ac:dyDescent="0.25">
      <c r="A3" s="42"/>
      <c r="B3" s="42"/>
      <c r="C3" s="42"/>
      <c r="D3" s="42"/>
      <c r="E3" s="58"/>
      <c r="F3" s="43"/>
      <c r="G3" s="42"/>
      <c r="H3" s="42"/>
      <c r="I3" s="58"/>
      <c r="J3" s="59"/>
      <c r="K3" s="59"/>
      <c r="L3" s="59"/>
      <c r="M3" s="59"/>
      <c r="N3" s="59"/>
      <c r="O3" s="59"/>
      <c r="P3" s="59"/>
      <c r="Q3" s="59"/>
      <c r="R3" s="42"/>
      <c r="S3" s="44"/>
      <c r="T3" s="42"/>
      <c r="U3" s="42"/>
      <c r="V3" s="42"/>
      <c r="W3" s="42"/>
      <c r="X3" s="42"/>
      <c r="Y3" s="42"/>
    </row>
    <row r="4" ht="15.75" customHeight="1" spans="1:25" x14ac:dyDescent="0.25">
      <c r="A4" s="42"/>
      <c r="B4" s="42"/>
      <c r="C4" s="42"/>
      <c r="D4" s="42"/>
      <c r="E4" s="58"/>
      <c r="F4" s="43"/>
      <c r="G4" s="42"/>
      <c r="H4" s="42"/>
      <c r="I4" s="58"/>
      <c r="J4" s="59"/>
      <c r="K4" s="59"/>
      <c r="L4" s="59"/>
      <c r="M4" s="59"/>
      <c r="N4" s="59"/>
      <c r="O4" s="59"/>
      <c r="P4" s="59"/>
      <c r="Q4" s="59"/>
      <c r="R4" s="42"/>
      <c r="S4" s="44"/>
      <c r="T4" s="42"/>
      <c r="U4" s="42"/>
      <c r="V4" s="42"/>
      <c r="W4" s="42"/>
      <c r="X4" s="42"/>
      <c r="Y4" s="42"/>
    </row>
    <row r="5" ht="15.75" customHeight="1" spans="1:25" x14ac:dyDescent="0.25">
      <c r="A5" s="45"/>
      <c r="B5" s="45"/>
      <c r="C5" s="45"/>
      <c r="D5" s="45"/>
      <c r="E5" s="60"/>
      <c r="F5" s="46"/>
      <c r="G5" s="45"/>
      <c r="H5" s="45"/>
      <c r="I5" s="60"/>
      <c r="J5" s="61"/>
      <c r="K5" s="61"/>
      <c r="L5" s="61"/>
      <c r="M5" s="61"/>
      <c r="N5" s="61"/>
      <c r="O5" s="61"/>
      <c r="P5" s="61"/>
      <c r="Q5" s="61"/>
      <c r="R5" s="45"/>
      <c r="S5" s="47"/>
      <c r="T5" s="45"/>
      <c r="U5" s="42"/>
      <c r="V5" s="42"/>
      <c r="W5" s="42"/>
      <c r="X5" s="42"/>
      <c r="Y5" s="42"/>
    </row>
    <row r="6" ht="15.75" customHeight="1" spans="1:25" x14ac:dyDescent="0.25">
      <c r="A6" s="49" t="s">
        <v>0</v>
      </c>
      <c r="B6" s="49" t="s">
        <v>1</v>
      </c>
      <c r="C6" s="49" t="s">
        <v>2</v>
      </c>
      <c r="D6" s="49" t="s">
        <v>3</v>
      </c>
      <c r="E6" s="62" t="s">
        <v>4</v>
      </c>
      <c r="F6" s="50"/>
      <c r="G6" s="51" t="s">
        <v>5</v>
      </c>
      <c r="H6" s="6"/>
      <c r="I6" s="7"/>
      <c r="J6" s="63" t="s">
        <v>6</v>
      </c>
      <c r="K6" s="63" t="s">
        <v>7</v>
      </c>
      <c r="L6" s="63" t="s">
        <v>8</v>
      </c>
      <c r="M6" s="63" t="s">
        <v>9</v>
      </c>
      <c r="N6" s="63" t="s">
        <v>10</v>
      </c>
      <c r="O6" s="63" t="s">
        <v>11</v>
      </c>
      <c r="P6" s="63" t="s">
        <v>12</v>
      </c>
      <c r="Q6" s="63" t="s">
        <v>13</v>
      </c>
      <c r="R6" s="49" t="s">
        <v>387</v>
      </c>
      <c r="S6" s="36"/>
      <c r="T6" s="49" t="s">
        <v>15</v>
      </c>
      <c r="U6" s="42"/>
      <c r="V6" s="42"/>
      <c r="W6" s="42"/>
      <c r="X6" s="42"/>
      <c r="Y6" s="42"/>
    </row>
    <row r="7" ht="15.75" customHeight="1" spans="1:25" x14ac:dyDescent="0.25">
      <c r="A7" s="9"/>
      <c r="B7" s="9"/>
      <c r="C7" s="9"/>
      <c r="D7" s="9"/>
      <c r="E7" s="9"/>
      <c r="F7" s="50"/>
      <c r="G7" s="52" t="s">
        <v>16</v>
      </c>
      <c r="H7" s="52" t="s">
        <v>17</v>
      </c>
      <c r="I7" s="64" t="s">
        <v>18</v>
      </c>
      <c r="J7" s="9"/>
      <c r="K7" s="9"/>
      <c r="L7" s="9"/>
      <c r="M7" s="9"/>
      <c r="N7" s="9"/>
      <c r="O7" s="9"/>
      <c r="P7" s="9"/>
      <c r="Q7" s="9"/>
      <c r="R7" s="9"/>
      <c r="S7" s="36"/>
      <c r="T7" s="9"/>
      <c r="U7" s="42"/>
      <c r="V7" s="42"/>
      <c r="W7" s="42"/>
      <c r="X7" s="42"/>
      <c r="Y7" s="42"/>
    </row>
    <row r="8" ht="15.75" customHeight="1" spans="1:25" x14ac:dyDescent="0.25">
      <c r="A8" s="25" t="s">
        <v>388</v>
      </c>
      <c r="B8" s="25"/>
      <c r="C8" s="25" t="s">
        <v>51</v>
      </c>
      <c r="D8" s="25"/>
      <c r="E8" s="65"/>
      <c r="F8" s="50"/>
      <c r="G8" s="25"/>
      <c r="H8" s="25"/>
      <c r="I8" s="53"/>
      <c r="J8" s="66"/>
      <c r="K8" s="66"/>
      <c r="L8" s="66"/>
      <c r="M8" s="66"/>
      <c r="N8" s="66"/>
      <c r="O8" s="66"/>
      <c r="P8" s="66"/>
      <c r="Q8" s="66"/>
      <c r="R8" s="25" t="s">
        <v>206</v>
      </c>
      <c r="S8" s="36"/>
      <c r="T8" s="53">
        <v>47401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313</v>
      </c>
      <c r="C9" s="25" t="s">
        <v>389</v>
      </c>
      <c r="D9" s="25" t="s">
        <v>54</v>
      </c>
      <c r="E9" s="53">
        <v>3600</v>
      </c>
      <c r="F9" s="50"/>
      <c r="G9" s="35">
        <v>36</v>
      </c>
      <c r="H9" s="35">
        <v>100</v>
      </c>
      <c r="I9" s="53">
        <v>3600</v>
      </c>
      <c r="J9" s="66"/>
      <c r="K9" s="66"/>
      <c r="L9" s="66"/>
      <c r="M9" s="66"/>
      <c r="N9" s="66"/>
      <c r="O9" s="66"/>
      <c r="P9" s="66"/>
      <c r="Q9" s="66"/>
      <c r="R9" s="25"/>
      <c r="S9" s="36"/>
      <c r="T9" s="53">
        <f t="shared" ref="T9:T14" si="0">T8-E9</f>
        <v>43801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314</v>
      </c>
      <c r="C10" s="25" t="s">
        <v>389</v>
      </c>
      <c r="D10" s="25" t="s">
        <v>60</v>
      </c>
      <c r="E10" s="53">
        <v>2600</v>
      </c>
      <c r="F10" s="50"/>
      <c r="G10" s="35">
        <v>26</v>
      </c>
      <c r="H10" s="35">
        <v>100</v>
      </c>
      <c r="I10" s="53">
        <v>2600</v>
      </c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 t="shared" si="0"/>
        <v>41201</v>
      </c>
      <c r="U10" s="42"/>
      <c r="V10" s="42"/>
      <c r="W10" s="42"/>
      <c r="X10" s="42"/>
      <c r="Y10" s="42"/>
    </row>
    <row r="11" ht="15.75" customHeight="1" spans="1:25" x14ac:dyDescent="0.25">
      <c r="A11" s="25" t="s">
        <v>390</v>
      </c>
      <c r="B11" s="35">
        <v>315</v>
      </c>
      <c r="C11" s="25" t="s">
        <v>389</v>
      </c>
      <c r="D11" s="25" t="s">
        <v>54</v>
      </c>
      <c r="E11" s="53">
        <v>3600</v>
      </c>
      <c r="F11" s="50"/>
      <c r="G11" s="35">
        <v>36</v>
      </c>
      <c r="H11" s="35">
        <v>100</v>
      </c>
      <c r="I11" s="53">
        <v>3600</v>
      </c>
      <c r="J11" s="66"/>
      <c r="K11" s="66"/>
      <c r="L11" s="66"/>
      <c r="M11" s="66"/>
      <c r="N11" s="66"/>
      <c r="O11" s="66"/>
      <c r="P11" s="66"/>
      <c r="Q11" s="66"/>
      <c r="R11" s="25"/>
      <c r="S11" s="36"/>
      <c r="T11" s="53">
        <f t="shared" si="0"/>
        <v>37601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316</v>
      </c>
      <c r="C12" s="25" t="s">
        <v>389</v>
      </c>
      <c r="D12" s="25" t="s">
        <v>54</v>
      </c>
      <c r="E12" s="53">
        <v>2600</v>
      </c>
      <c r="F12" s="50"/>
      <c r="G12" s="35">
        <v>26</v>
      </c>
      <c r="H12" s="35">
        <v>100</v>
      </c>
      <c r="I12" s="53">
        <v>2600</v>
      </c>
      <c r="J12" s="66"/>
      <c r="K12" s="66"/>
      <c r="L12" s="66"/>
      <c r="M12" s="67"/>
      <c r="N12" s="66"/>
      <c r="O12" s="66"/>
      <c r="P12" s="66"/>
      <c r="Q12" s="66"/>
      <c r="R12" s="25"/>
      <c r="S12" s="36"/>
      <c r="T12" s="53">
        <f t="shared" si="0"/>
        <v>35001</v>
      </c>
      <c r="U12" s="42"/>
      <c r="V12" s="42"/>
      <c r="W12" s="42"/>
      <c r="X12" s="42"/>
      <c r="Y12" s="42"/>
    </row>
    <row r="13" ht="15.75" customHeight="1" spans="1:25" x14ac:dyDescent="0.25">
      <c r="A13" s="25" t="s">
        <v>391</v>
      </c>
      <c r="B13" s="35">
        <v>317</v>
      </c>
      <c r="C13" s="25" t="s">
        <v>389</v>
      </c>
      <c r="D13" s="25" t="s">
        <v>311</v>
      </c>
      <c r="E13" s="53">
        <v>2700</v>
      </c>
      <c r="F13" s="50"/>
      <c r="G13" s="25">
        <v>27</v>
      </c>
      <c r="H13" s="25">
        <v>100</v>
      </c>
      <c r="I13" s="53">
        <v>2700</v>
      </c>
      <c r="J13" s="66"/>
      <c r="K13" s="66"/>
      <c r="L13" s="66"/>
      <c r="M13" s="66"/>
      <c r="N13" s="66"/>
      <c r="O13" s="66"/>
      <c r="P13" s="67"/>
      <c r="Q13" s="66"/>
      <c r="R13" s="25"/>
      <c r="S13" s="36"/>
      <c r="T13" s="53">
        <f t="shared" si="0"/>
        <v>32301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5">
        <v>318</v>
      </c>
      <c r="C14" s="25" t="s">
        <v>392</v>
      </c>
      <c r="D14" s="25" t="s">
        <v>28</v>
      </c>
      <c r="E14" s="53">
        <v>670</v>
      </c>
      <c r="F14" s="50"/>
      <c r="G14" s="35"/>
      <c r="H14" s="35"/>
      <c r="I14" s="53"/>
      <c r="J14" s="66"/>
      <c r="K14" s="66"/>
      <c r="L14" s="66">
        <v>460</v>
      </c>
      <c r="M14" s="66"/>
      <c r="N14" s="66"/>
      <c r="O14" s="66"/>
      <c r="P14" s="66">
        <v>210</v>
      </c>
      <c r="Q14" s="66"/>
      <c r="R14" s="25"/>
      <c r="S14" s="36"/>
      <c r="T14" s="53">
        <f t="shared" si="0"/>
        <v>31631</v>
      </c>
      <c r="U14" s="42"/>
      <c r="V14" s="42"/>
      <c r="W14" s="42"/>
      <c r="X14" s="42"/>
      <c r="Y14" s="42"/>
    </row>
    <row r="15" ht="15.75" customHeight="1" spans="1:25" x14ac:dyDescent="0.25">
      <c r="A15" s="25" t="s">
        <v>393</v>
      </c>
      <c r="B15" s="35"/>
      <c r="C15" s="25" t="s">
        <v>394</v>
      </c>
      <c r="D15" s="25"/>
      <c r="E15" s="53"/>
      <c r="F15" s="50">
        <v>60000</v>
      </c>
      <c r="G15" s="35"/>
      <c r="H15" s="35"/>
      <c r="I15" s="53"/>
      <c r="J15" s="66"/>
      <c r="K15" s="66"/>
      <c r="L15" s="66"/>
      <c r="M15" s="66"/>
      <c r="N15" s="66"/>
      <c r="O15" s="66"/>
      <c r="P15" s="66"/>
      <c r="Q15" s="66"/>
      <c r="R15" s="25"/>
      <c r="S15" s="36"/>
      <c r="T15" s="53">
        <f>T14-E15+60000</f>
        <v>91631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319</v>
      </c>
      <c r="C16" s="25" t="s">
        <v>389</v>
      </c>
      <c r="D16" s="25" t="s">
        <v>395</v>
      </c>
      <c r="E16" s="53">
        <v>1700</v>
      </c>
      <c r="F16" s="50"/>
      <c r="G16" s="25">
        <v>17</v>
      </c>
      <c r="H16" s="25">
        <v>100</v>
      </c>
      <c r="I16" s="53">
        <v>1700</v>
      </c>
      <c r="J16" s="66"/>
      <c r="K16" s="66"/>
      <c r="L16" s="67"/>
      <c r="M16" s="66"/>
      <c r="N16" s="66"/>
      <c r="O16" s="66"/>
      <c r="P16" s="66"/>
      <c r="Q16" s="66"/>
      <c r="R16" s="25"/>
      <c r="S16" s="36"/>
      <c r="T16" s="53">
        <f t="shared" ref="T16:T46" si="1">T15-E16</f>
        <v>89931</v>
      </c>
      <c r="U16" s="42"/>
      <c r="V16" s="42"/>
      <c r="W16" s="42"/>
      <c r="X16" s="42"/>
      <c r="Y16" s="42"/>
    </row>
    <row r="17" ht="15.75" customHeight="1" spans="1:25" x14ac:dyDescent="0.25">
      <c r="A17" s="25"/>
      <c r="B17" s="35">
        <v>320</v>
      </c>
      <c r="C17" s="25" t="s">
        <v>389</v>
      </c>
      <c r="D17" s="25" t="s">
        <v>200</v>
      </c>
      <c r="E17" s="53">
        <v>29100</v>
      </c>
      <c r="F17" s="50"/>
      <c r="G17" s="35">
        <v>291</v>
      </c>
      <c r="H17" s="35">
        <v>100</v>
      </c>
      <c r="I17" s="53">
        <v>291</v>
      </c>
      <c r="J17" s="66"/>
      <c r="K17" s="66"/>
      <c r="L17" s="66"/>
      <c r="M17" s="66"/>
      <c r="N17" s="66"/>
      <c r="O17" s="66"/>
      <c r="P17" s="66"/>
      <c r="Q17" s="66"/>
      <c r="R17" s="25"/>
      <c r="S17" s="36"/>
      <c r="T17" s="53">
        <f t="shared" si="1"/>
        <v>60831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321</v>
      </c>
      <c r="C18" s="25" t="s">
        <v>396</v>
      </c>
      <c r="D18" s="25" t="s">
        <v>397</v>
      </c>
      <c r="E18" s="53">
        <v>30000</v>
      </c>
      <c r="F18" s="50"/>
      <c r="G18" s="35"/>
      <c r="H18" s="35"/>
      <c r="I18" s="53"/>
      <c r="J18" s="66"/>
      <c r="K18" s="66">
        <v>30000</v>
      </c>
      <c r="L18" s="66"/>
      <c r="M18" s="66"/>
      <c r="N18" s="66"/>
      <c r="O18" s="66"/>
      <c r="P18" s="66"/>
      <c r="Q18" s="66"/>
      <c r="R18" s="25"/>
      <c r="S18" s="36"/>
      <c r="T18" s="53">
        <f t="shared" si="1"/>
        <v>30831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322</v>
      </c>
      <c r="C19" s="25" t="s">
        <v>398</v>
      </c>
      <c r="D19" s="25" t="s">
        <v>399</v>
      </c>
      <c r="E19" s="53">
        <v>400</v>
      </c>
      <c r="F19" s="50"/>
      <c r="G19" s="35"/>
      <c r="H19" s="35"/>
      <c r="I19" s="53"/>
      <c r="J19" s="66"/>
      <c r="K19" s="66"/>
      <c r="L19" s="66"/>
      <c r="M19" s="66"/>
      <c r="N19" s="66"/>
      <c r="O19" s="66"/>
      <c r="P19" s="66">
        <v>400</v>
      </c>
      <c r="Q19" s="66"/>
      <c r="R19" s="25"/>
      <c r="S19" s="36"/>
      <c r="T19" s="53">
        <f t="shared" si="1"/>
        <v>30431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323</v>
      </c>
      <c r="C20" s="25" t="s">
        <v>400</v>
      </c>
      <c r="D20" s="25" t="s">
        <v>401</v>
      </c>
      <c r="E20" s="53">
        <v>300</v>
      </c>
      <c r="F20" s="50"/>
      <c r="G20" s="25"/>
      <c r="H20" s="25"/>
      <c r="I20" s="53"/>
      <c r="J20" s="66"/>
      <c r="K20" s="66"/>
      <c r="L20" s="66"/>
      <c r="M20" s="66"/>
      <c r="N20" s="66"/>
      <c r="O20" s="66"/>
      <c r="P20" s="66">
        <v>300</v>
      </c>
      <c r="Q20" s="67"/>
      <c r="R20" s="25"/>
      <c r="S20" s="36"/>
      <c r="T20" s="53">
        <f t="shared" si="1"/>
        <v>30131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324</v>
      </c>
      <c r="C21" s="25" t="s">
        <v>402</v>
      </c>
      <c r="D21" s="25" t="s">
        <v>403</v>
      </c>
      <c r="E21" s="53">
        <v>450</v>
      </c>
      <c r="F21" s="50"/>
      <c r="G21" s="35"/>
      <c r="H21" s="35"/>
      <c r="I21" s="53"/>
      <c r="J21" s="66"/>
      <c r="K21" s="66"/>
      <c r="L21" s="66"/>
      <c r="M21" s="66"/>
      <c r="N21" s="66"/>
      <c r="O21" s="66"/>
      <c r="P21" s="67">
        <v>450</v>
      </c>
      <c r="Q21" s="66"/>
      <c r="R21" s="25"/>
      <c r="S21" s="36"/>
      <c r="T21" s="53">
        <f t="shared" si="1"/>
        <v>29681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325</v>
      </c>
      <c r="C22" s="25" t="s">
        <v>404</v>
      </c>
      <c r="D22" s="25" t="s">
        <v>285</v>
      </c>
      <c r="E22" s="53">
        <v>460</v>
      </c>
      <c r="F22" s="50"/>
      <c r="G22" s="25"/>
      <c r="H22" s="25"/>
      <c r="I22" s="53"/>
      <c r="J22" s="66"/>
      <c r="K22" s="66"/>
      <c r="L22" s="66"/>
      <c r="M22" s="66"/>
      <c r="N22" s="66"/>
      <c r="O22" s="66"/>
      <c r="P22" s="67">
        <v>460</v>
      </c>
      <c r="Q22" s="66"/>
      <c r="R22" s="25"/>
      <c r="S22" s="36"/>
      <c r="T22" s="53">
        <f t="shared" si="1"/>
        <v>29221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326</v>
      </c>
      <c r="C23" s="25" t="s">
        <v>405</v>
      </c>
      <c r="D23" s="25" t="s">
        <v>406</v>
      </c>
      <c r="E23" s="53">
        <v>4400</v>
      </c>
      <c r="F23" s="50"/>
      <c r="G23" s="35">
        <v>2</v>
      </c>
      <c r="H23" s="35">
        <v>2200</v>
      </c>
      <c r="I23" s="53">
        <v>4400</v>
      </c>
      <c r="J23" s="66"/>
      <c r="K23" s="66"/>
      <c r="L23" s="66"/>
      <c r="M23" s="66"/>
      <c r="N23" s="66"/>
      <c r="O23" s="66"/>
      <c r="P23" s="66"/>
      <c r="Q23" s="66"/>
      <c r="R23" s="25"/>
      <c r="S23" s="36"/>
      <c r="T23" s="53">
        <f t="shared" si="1"/>
        <v>24821</v>
      </c>
      <c r="U23" s="42"/>
      <c r="V23" s="42"/>
      <c r="W23" s="42"/>
      <c r="X23" s="42"/>
      <c r="Y23" s="42"/>
    </row>
    <row r="24" ht="15.75" customHeight="1" spans="1:25" x14ac:dyDescent="0.25">
      <c r="A24" s="25" t="s">
        <v>407</v>
      </c>
      <c r="B24" s="35">
        <v>327</v>
      </c>
      <c r="C24" s="25" t="s">
        <v>408</v>
      </c>
      <c r="D24" s="25" t="s">
        <v>409</v>
      </c>
      <c r="E24" s="53">
        <v>1000</v>
      </c>
      <c r="F24" s="50"/>
      <c r="G24" s="35"/>
      <c r="H24" s="35"/>
      <c r="I24" s="53"/>
      <c r="J24" s="66"/>
      <c r="K24" s="66"/>
      <c r="L24" s="66"/>
      <c r="M24" s="66"/>
      <c r="N24" s="66"/>
      <c r="O24" s="66">
        <v>1000</v>
      </c>
      <c r="P24" s="66"/>
      <c r="Q24" s="66"/>
      <c r="R24" s="25"/>
      <c r="S24" s="36"/>
      <c r="T24" s="53">
        <f t="shared" si="1"/>
        <v>23821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328</v>
      </c>
      <c r="C25" s="25" t="s">
        <v>410</v>
      </c>
      <c r="D25" s="25" t="s">
        <v>411</v>
      </c>
      <c r="E25" s="53">
        <v>1780</v>
      </c>
      <c r="F25" s="50"/>
      <c r="G25" s="25"/>
      <c r="H25" s="25"/>
      <c r="I25" s="53"/>
      <c r="J25" s="66"/>
      <c r="K25" s="67"/>
      <c r="L25" s="66"/>
      <c r="M25" s="66"/>
      <c r="N25" s="66"/>
      <c r="O25" s="66"/>
      <c r="P25" s="66">
        <v>1780</v>
      </c>
      <c r="Q25" s="66"/>
      <c r="R25" s="25"/>
      <c r="S25" s="36"/>
      <c r="T25" s="53">
        <f t="shared" si="1"/>
        <v>22041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329</v>
      </c>
      <c r="C26" s="25" t="s">
        <v>412</v>
      </c>
      <c r="D26" s="25" t="s">
        <v>413</v>
      </c>
      <c r="E26" s="53">
        <v>2500</v>
      </c>
      <c r="F26" s="50"/>
      <c r="G26" s="25"/>
      <c r="H26" s="25"/>
      <c r="I26" s="53"/>
      <c r="J26" s="66"/>
      <c r="K26" s="66"/>
      <c r="L26" s="66"/>
      <c r="M26" s="66"/>
      <c r="N26" s="66"/>
      <c r="O26" s="66"/>
      <c r="P26" s="66"/>
      <c r="Q26" s="66"/>
      <c r="R26" s="25">
        <v>2500</v>
      </c>
      <c r="S26" s="36"/>
      <c r="T26" s="53">
        <f t="shared" si="1"/>
        <v>19541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330</v>
      </c>
      <c r="C27" s="23" t="s">
        <v>414</v>
      </c>
      <c r="D27" s="25" t="s">
        <v>415</v>
      </c>
      <c r="E27" s="53">
        <v>1850</v>
      </c>
      <c r="F27" s="50"/>
      <c r="G27" s="25"/>
      <c r="H27" s="25"/>
      <c r="I27" s="53">
        <v>1850</v>
      </c>
      <c r="J27" s="66"/>
      <c r="K27" s="66"/>
      <c r="L27" s="66"/>
      <c r="M27" s="66"/>
      <c r="N27" s="66"/>
      <c r="O27" s="66"/>
      <c r="P27" s="66"/>
      <c r="Q27" s="66"/>
      <c r="R27" s="25"/>
      <c r="S27" s="36"/>
      <c r="T27" s="53">
        <f t="shared" si="1"/>
        <v>17691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331</v>
      </c>
      <c r="C28" s="23" t="s">
        <v>416</v>
      </c>
      <c r="D28" s="25" t="s">
        <v>417</v>
      </c>
      <c r="E28" s="53">
        <v>800</v>
      </c>
      <c r="F28" s="50"/>
      <c r="G28" s="25"/>
      <c r="H28" s="25"/>
      <c r="I28" s="53">
        <v>800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1"/>
        <v>16891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332</v>
      </c>
      <c r="C29" s="23" t="s">
        <v>418</v>
      </c>
      <c r="D29" s="23" t="s">
        <v>419</v>
      </c>
      <c r="E29" s="54">
        <v>190</v>
      </c>
      <c r="F29" s="50"/>
      <c r="G29" s="25"/>
      <c r="H29" s="25"/>
      <c r="I29" s="53"/>
      <c r="J29" s="66"/>
      <c r="K29" s="67"/>
      <c r="L29" s="66"/>
      <c r="M29" s="66"/>
      <c r="N29" s="66"/>
      <c r="O29" s="66"/>
      <c r="P29" s="66">
        <v>190</v>
      </c>
      <c r="Q29" s="66"/>
      <c r="R29" s="25"/>
      <c r="S29" s="36"/>
      <c r="T29" s="53">
        <f t="shared" si="1"/>
        <v>16701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333</v>
      </c>
      <c r="C30" s="23" t="s">
        <v>389</v>
      </c>
      <c r="D30" s="23" t="s">
        <v>420</v>
      </c>
      <c r="E30" s="54">
        <v>700</v>
      </c>
      <c r="F30" s="50"/>
      <c r="G30" s="25">
        <v>7</v>
      </c>
      <c r="H30" s="25">
        <v>100</v>
      </c>
      <c r="I30" s="53">
        <v>700</v>
      </c>
      <c r="J30" s="66"/>
      <c r="K30" s="67"/>
      <c r="L30" s="66"/>
      <c r="M30" s="66"/>
      <c r="N30" s="66"/>
      <c r="O30" s="66"/>
      <c r="P30" s="66"/>
      <c r="Q30" s="66"/>
      <c r="R30" s="25"/>
      <c r="S30" s="36"/>
      <c r="T30" s="53">
        <f t="shared" si="1"/>
        <v>16001</v>
      </c>
      <c r="U30" s="42"/>
      <c r="V30" s="42"/>
      <c r="W30" s="42"/>
      <c r="X30" s="42"/>
      <c r="Y30" s="42"/>
    </row>
    <row r="31" ht="15.75" customHeight="1" spans="1:25" x14ac:dyDescent="0.25">
      <c r="A31" s="25"/>
      <c r="B31" s="35">
        <v>334</v>
      </c>
      <c r="C31" s="23" t="s">
        <v>389</v>
      </c>
      <c r="D31" s="25" t="s">
        <v>69</v>
      </c>
      <c r="E31" s="53">
        <v>5300</v>
      </c>
      <c r="F31" s="50"/>
      <c r="G31" s="25">
        <v>53</v>
      </c>
      <c r="H31" s="25">
        <v>100</v>
      </c>
      <c r="I31" s="53">
        <v>5300</v>
      </c>
      <c r="J31" s="66"/>
      <c r="K31" s="67"/>
      <c r="L31" s="66"/>
      <c r="M31" s="66"/>
      <c r="N31" s="66"/>
      <c r="O31" s="66"/>
      <c r="P31" s="66"/>
      <c r="Q31" s="66"/>
      <c r="R31" s="25"/>
      <c r="S31" s="36"/>
      <c r="T31" s="53">
        <f t="shared" si="1"/>
        <v>10701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335</v>
      </c>
      <c r="C32" s="23" t="s">
        <v>389</v>
      </c>
      <c r="D32" s="25" t="s">
        <v>54</v>
      </c>
      <c r="E32" s="53">
        <v>8800</v>
      </c>
      <c r="F32" s="50"/>
      <c r="G32" s="25">
        <v>88</v>
      </c>
      <c r="H32" s="25">
        <v>100</v>
      </c>
      <c r="I32" s="53">
        <v>8800</v>
      </c>
      <c r="J32" s="66"/>
      <c r="K32" s="67"/>
      <c r="L32" s="66"/>
      <c r="M32" s="66"/>
      <c r="N32" s="66"/>
      <c r="O32" s="66"/>
      <c r="P32" s="66"/>
      <c r="Q32" s="66"/>
      <c r="R32" s="25"/>
      <c r="S32" s="36"/>
      <c r="T32" s="53">
        <f t="shared" si="1"/>
        <v>1901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336</v>
      </c>
      <c r="C33" s="23" t="s">
        <v>421</v>
      </c>
      <c r="D33" s="23" t="s">
        <v>422</v>
      </c>
      <c r="E33" s="54">
        <v>1000</v>
      </c>
      <c r="F33" s="50"/>
      <c r="G33" s="25"/>
      <c r="H33" s="25"/>
      <c r="I33" s="53"/>
      <c r="J33" s="66"/>
      <c r="K33" s="67">
        <v>1000</v>
      </c>
      <c r="L33" s="66"/>
      <c r="M33" s="66"/>
      <c r="N33" s="66"/>
      <c r="O33" s="66"/>
      <c r="P33" s="66"/>
      <c r="Q33" s="66"/>
      <c r="R33" s="25"/>
      <c r="S33" s="36"/>
      <c r="T33" s="53">
        <f t="shared" si="1"/>
        <v>901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423</v>
      </c>
      <c r="B34" s="35">
        <v>337</v>
      </c>
      <c r="C34" s="23" t="s">
        <v>389</v>
      </c>
      <c r="D34" s="23" t="s">
        <v>54</v>
      </c>
      <c r="E34" s="54">
        <v>4300</v>
      </c>
      <c r="F34" s="50"/>
      <c r="G34" s="25">
        <v>43</v>
      </c>
      <c r="H34" s="25">
        <v>100</v>
      </c>
      <c r="I34" s="53">
        <v>4300</v>
      </c>
      <c r="J34" s="66"/>
      <c r="K34" s="67"/>
      <c r="L34" s="66"/>
      <c r="M34" s="66"/>
      <c r="N34" s="66"/>
      <c r="O34" s="66"/>
      <c r="P34" s="66"/>
      <c r="Q34" s="66"/>
      <c r="R34" s="25"/>
      <c r="S34" s="36"/>
      <c r="T34" s="53">
        <f t="shared" si="1"/>
        <v>-3399</v>
      </c>
      <c r="U34" s="42"/>
      <c r="V34" s="42"/>
      <c r="W34" s="42"/>
      <c r="X34" s="42"/>
      <c r="Y34" s="42"/>
    </row>
    <row r="35" ht="15.75" customHeight="1" spans="1:25" x14ac:dyDescent="0.25">
      <c r="A35" s="25" t="s">
        <v>424</v>
      </c>
      <c r="B35" s="35">
        <v>338</v>
      </c>
      <c r="C35" s="23" t="s">
        <v>425</v>
      </c>
      <c r="D35" s="25" t="s">
        <v>54</v>
      </c>
      <c r="E35" s="53">
        <v>960</v>
      </c>
      <c r="F35" s="50"/>
      <c r="G35" s="35">
        <v>8</v>
      </c>
      <c r="H35" s="35">
        <v>120</v>
      </c>
      <c r="I35" s="53">
        <v>960</v>
      </c>
      <c r="J35" s="66"/>
      <c r="K35" s="66"/>
      <c r="L35" s="66"/>
      <c r="M35" s="66"/>
      <c r="N35" s="66"/>
      <c r="O35" s="66"/>
      <c r="P35" s="66"/>
      <c r="Q35" s="66"/>
      <c r="R35" s="25"/>
      <c r="S35" s="36"/>
      <c r="T35" s="53">
        <f t="shared" si="1"/>
        <v>-4359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339</v>
      </c>
      <c r="C36" s="23" t="s">
        <v>426</v>
      </c>
      <c r="D36" s="25" t="s">
        <v>427</v>
      </c>
      <c r="E36" s="53">
        <v>2730</v>
      </c>
      <c r="F36" s="50"/>
      <c r="G36" s="35">
        <v>39</v>
      </c>
      <c r="H36" s="35">
        <v>70</v>
      </c>
      <c r="I36" s="53">
        <v>2730</v>
      </c>
      <c r="J36" s="66"/>
      <c r="K36" s="66"/>
      <c r="L36" s="66"/>
      <c r="M36" s="66"/>
      <c r="N36" s="66"/>
      <c r="O36" s="66"/>
      <c r="P36" s="66"/>
      <c r="Q36" s="66"/>
      <c r="R36" s="25"/>
      <c r="S36" s="36"/>
      <c r="T36" s="53">
        <f t="shared" si="1"/>
        <v>-7089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340</v>
      </c>
      <c r="C37" s="25" t="s">
        <v>389</v>
      </c>
      <c r="D37" s="23" t="s">
        <v>311</v>
      </c>
      <c r="E37" s="53">
        <v>1200</v>
      </c>
      <c r="F37" s="50"/>
      <c r="G37" s="35">
        <v>12</v>
      </c>
      <c r="H37" s="35">
        <v>100</v>
      </c>
      <c r="I37" s="53">
        <v>1200</v>
      </c>
      <c r="J37" s="66"/>
      <c r="K37" s="66"/>
      <c r="L37" s="66"/>
      <c r="M37" s="66"/>
      <c r="N37" s="66"/>
      <c r="O37" s="66"/>
      <c r="P37" s="66"/>
      <c r="Q37" s="66"/>
      <c r="R37" s="25"/>
      <c r="S37" s="36"/>
      <c r="T37" s="53">
        <f t="shared" si="1"/>
        <v>-8289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341</v>
      </c>
      <c r="C38" s="23" t="s">
        <v>428</v>
      </c>
      <c r="D38" s="25" t="s">
        <v>54</v>
      </c>
      <c r="E38" s="53">
        <v>1350</v>
      </c>
      <c r="F38" s="50"/>
      <c r="G38" s="35">
        <v>9</v>
      </c>
      <c r="H38" s="35">
        <v>150</v>
      </c>
      <c r="I38" s="53">
        <v>1350</v>
      </c>
      <c r="J38" s="66"/>
      <c r="K38" s="66"/>
      <c r="L38" s="66"/>
      <c r="M38" s="66"/>
      <c r="N38" s="66"/>
      <c r="O38" s="66"/>
      <c r="P38" s="66"/>
      <c r="Q38" s="67"/>
      <c r="R38" s="25"/>
      <c r="S38" s="36"/>
      <c r="T38" s="53">
        <f t="shared" si="1"/>
        <v>-9639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342</v>
      </c>
      <c r="C39" s="23" t="s">
        <v>425</v>
      </c>
      <c r="D39" s="23" t="s">
        <v>54</v>
      </c>
      <c r="E39" s="54">
        <v>2280</v>
      </c>
      <c r="F39" s="50"/>
      <c r="G39" s="35">
        <v>19</v>
      </c>
      <c r="H39" s="35">
        <v>120</v>
      </c>
      <c r="I39" s="53">
        <v>2280</v>
      </c>
      <c r="J39" s="66"/>
      <c r="K39" s="66"/>
      <c r="L39" s="66"/>
      <c r="M39" s="66"/>
      <c r="N39" s="66"/>
      <c r="O39" s="66"/>
      <c r="P39" s="67"/>
      <c r="Q39" s="66"/>
      <c r="R39" s="25"/>
      <c r="S39" s="36"/>
      <c r="T39" s="53">
        <f t="shared" si="1"/>
        <v>-11919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343</v>
      </c>
      <c r="C40" s="23" t="s">
        <v>429</v>
      </c>
      <c r="D40" s="23" t="s">
        <v>420</v>
      </c>
      <c r="E40" s="54">
        <v>280</v>
      </c>
      <c r="F40" s="50"/>
      <c r="G40" s="35">
        <v>3.5</v>
      </c>
      <c r="H40" s="35">
        <v>80</v>
      </c>
      <c r="I40" s="53">
        <v>280</v>
      </c>
      <c r="J40" s="66"/>
      <c r="K40" s="66"/>
      <c r="L40" s="66"/>
      <c r="M40" s="66"/>
      <c r="N40" s="66"/>
      <c r="O40" s="66"/>
      <c r="P40" s="66"/>
      <c r="Q40" s="66"/>
      <c r="R40" s="25"/>
      <c r="S40" s="36"/>
      <c r="T40" s="53">
        <f t="shared" si="1"/>
        <v>-12199</v>
      </c>
      <c r="U40" s="42"/>
      <c r="V40" s="42"/>
      <c r="W40" s="42"/>
      <c r="X40" s="42"/>
      <c r="Y40" s="42"/>
    </row>
    <row r="41" ht="15.75" customHeight="1" spans="1:25" x14ac:dyDescent="0.25">
      <c r="A41" s="26" t="s">
        <v>430</v>
      </c>
      <c r="B41" s="29">
        <v>344</v>
      </c>
      <c r="C41" s="15" t="s">
        <v>431</v>
      </c>
      <c r="D41" s="26" t="s">
        <v>91</v>
      </c>
      <c r="E41" s="56">
        <v>500</v>
      </c>
      <c r="F41" s="50"/>
      <c r="G41" s="25">
        <v>5</v>
      </c>
      <c r="H41" s="25">
        <v>100</v>
      </c>
      <c r="I41" s="53">
        <v>500</v>
      </c>
      <c r="J41" s="66"/>
      <c r="K41" s="66"/>
      <c r="L41" s="66"/>
      <c r="M41" s="66"/>
      <c r="N41" s="66"/>
      <c r="O41" s="66"/>
      <c r="P41" s="66"/>
      <c r="Q41" s="66"/>
      <c r="R41" s="25"/>
      <c r="S41" s="36"/>
      <c r="T41" s="53">
        <f t="shared" si="1"/>
        <v>-12699</v>
      </c>
      <c r="U41" s="42"/>
      <c r="V41" s="42"/>
      <c r="W41" s="42"/>
      <c r="X41" s="42"/>
      <c r="Y41" s="42"/>
    </row>
    <row r="42" ht="15.75" customHeight="1" spans="1:25" x14ac:dyDescent="0.25">
      <c r="A42" s="26"/>
      <c r="B42" s="29">
        <v>345</v>
      </c>
      <c r="C42" s="15" t="s">
        <v>429</v>
      </c>
      <c r="D42" s="26" t="s">
        <v>420</v>
      </c>
      <c r="E42" s="56">
        <v>320</v>
      </c>
      <c r="F42" s="50"/>
      <c r="G42" s="35">
        <v>4</v>
      </c>
      <c r="H42" s="35">
        <v>80</v>
      </c>
      <c r="I42" s="53">
        <f>G42*H42</f>
        <v>320</v>
      </c>
      <c r="J42" s="66"/>
      <c r="K42" s="66"/>
      <c r="L42" s="66"/>
      <c r="M42" s="66"/>
      <c r="N42" s="66"/>
      <c r="O42" s="66"/>
      <c r="P42" s="66"/>
      <c r="Q42" s="66"/>
      <c r="R42" s="25"/>
      <c r="S42" s="36"/>
      <c r="T42" s="53">
        <f t="shared" si="1"/>
        <v>-13019</v>
      </c>
      <c r="U42" s="42"/>
      <c r="V42" s="42"/>
      <c r="W42" s="42"/>
      <c r="X42" s="42"/>
      <c r="Y42" s="42"/>
    </row>
    <row r="43" ht="15.75" customHeight="1" spans="1:25" x14ac:dyDescent="0.25">
      <c r="A43" s="26"/>
      <c r="B43" s="29">
        <v>346</v>
      </c>
      <c r="C43" s="15" t="s">
        <v>389</v>
      </c>
      <c r="D43" s="26" t="s">
        <v>432</v>
      </c>
      <c r="E43" s="56">
        <v>900</v>
      </c>
      <c r="F43" s="50"/>
      <c r="G43" s="35">
        <v>9</v>
      </c>
      <c r="H43" s="35">
        <v>100</v>
      </c>
      <c r="I43" s="53">
        <v>900</v>
      </c>
      <c r="J43" s="66"/>
      <c r="K43" s="66"/>
      <c r="L43" s="66"/>
      <c r="M43" s="66"/>
      <c r="N43" s="66"/>
      <c r="O43" s="66"/>
      <c r="P43" s="66"/>
      <c r="Q43" s="66"/>
      <c r="R43" s="25"/>
      <c r="S43" s="36"/>
      <c r="T43" s="53">
        <f t="shared" si="1"/>
        <v>-13919</v>
      </c>
      <c r="U43" s="42"/>
      <c r="V43" s="42"/>
      <c r="W43" s="42"/>
      <c r="X43" s="42"/>
      <c r="Y43" s="42"/>
    </row>
    <row r="44" ht="15.75" customHeight="1" spans="1:25" x14ac:dyDescent="0.25">
      <c r="A44" s="26" t="s">
        <v>433</v>
      </c>
      <c r="B44" s="29">
        <v>347</v>
      </c>
      <c r="C44" s="26" t="s">
        <v>389</v>
      </c>
      <c r="D44" s="26" t="s">
        <v>311</v>
      </c>
      <c r="E44" s="56">
        <v>600</v>
      </c>
      <c r="F44" s="50"/>
      <c r="G44" s="35">
        <v>6</v>
      </c>
      <c r="H44" s="35">
        <v>100</v>
      </c>
      <c r="I44" s="53">
        <v>600</v>
      </c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 t="shared" si="1"/>
        <v>-14519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348</v>
      </c>
      <c r="C45" s="25" t="s">
        <v>429</v>
      </c>
      <c r="D45" s="25" t="s">
        <v>420</v>
      </c>
      <c r="E45" s="53">
        <v>560</v>
      </c>
      <c r="F45" s="50"/>
      <c r="G45" s="25">
        <v>7</v>
      </c>
      <c r="H45" s="25">
        <v>80</v>
      </c>
      <c r="I45" s="65">
        <f>G45*H45</f>
        <v>560</v>
      </c>
      <c r="J45" s="66"/>
      <c r="K45" s="66"/>
      <c r="L45" s="66"/>
      <c r="M45" s="66"/>
      <c r="N45" s="66"/>
      <c r="O45" s="66"/>
      <c r="P45" s="67"/>
      <c r="Q45" s="66"/>
      <c r="R45" s="25"/>
      <c r="S45" s="36"/>
      <c r="T45" s="53">
        <f t="shared" si="1"/>
        <v>-15079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349</v>
      </c>
      <c r="C46" s="25" t="s">
        <v>333</v>
      </c>
      <c r="D46" s="25" t="s">
        <v>434</v>
      </c>
      <c r="E46" s="53">
        <v>160</v>
      </c>
      <c r="F46" s="50"/>
      <c r="G46" s="25"/>
      <c r="H46" s="25"/>
      <c r="I46" s="65"/>
      <c r="J46" s="66"/>
      <c r="K46" s="66"/>
      <c r="L46" s="66"/>
      <c r="M46" s="67"/>
      <c r="N46" s="66"/>
      <c r="O46" s="66">
        <v>160</v>
      </c>
      <c r="P46" s="66"/>
      <c r="Q46" s="66"/>
      <c r="R46" s="25"/>
      <c r="S46" s="36"/>
      <c r="T46" s="53">
        <f t="shared" si="1"/>
        <v>-15239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/>
      <c r="C47" s="25" t="s">
        <v>394</v>
      </c>
      <c r="D47" s="25"/>
      <c r="E47" s="53"/>
      <c r="F47" s="50">
        <v>60000</v>
      </c>
      <c r="G47" s="25"/>
      <c r="H47" s="25"/>
      <c r="I47" s="65"/>
      <c r="J47" s="66"/>
      <c r="K47" s="66"/>
      <c r="L47" s="66"/>
      <c r="M47" s="66"/>
      <c r="N47" s="66"/>
      <c r="O47" s="66"/>
      <c r="P47" s="66"/>
      <c r="Q47" s="66"/>
      <c r="R47" s="25"/>
      <c r="S47" s="36"/>
      <c r="T47" s="53">
        <f>T46-E47+60000</f>
        <v>44761</v>
      </c>
      <c r="U47" s="42"/>
      <c r="V47" s="42"/>
      <c r="W47" s="42"/>
      <c r="X47" s="42"/>
      <c r="Y47" s="42"/>
    </row>
    <row r="48" ht="15.75" customHeight="1" spans="1:25" x14ac:dyDescent="0.25">
      <c r="A48" s="25" t="s">
        <v>435</v>
      </c>
      <c r="B48" s="35">
        <v>350</v>
      </c>
      <c r="C48" s="25" t="s">
        <v>389</v>
      </c>
      <c r="D48" s="25" t="s">
        <v>436</v>
      </c>
      <c r="E48" s="53">
        <v>3100</v>
      </c>
      <c r="F48" s="50"/>
      <c r="G48" s="25">
        <v>31</v>
      </c>
      <c r="H48" s="25">
        <v>100</v>
      </c>
      <c r="I48" s="65">
        <v>3100</v>
      </c>
      <c r="J48" s="66"/>
      <c r="K48" s="66"/>
      <c r="L48" s="66"/>
      <c r="M48" s="66"/>
      <c r="N48" s="66"/>
      <c r="O48" s="66"/>
      <c r="P48" s="66"/>
      <c r="Q48" s="66"/>
      <c r="R48" s="25"/>
      <c r="S48" s="36"/>
      <c r="T48" s="53">
        <f t="shared" ref="T48:T52" si="2">T47-E48</f>
        <v>41661</v>
      </c>
      <c r="U48" s="42"/>
      <c r="V48" s="42"/>
      <c r="W48" s="42"/>
      <c r="X48" s="42"/>
      <c r="Y48" s="42"/>
    </row>
    <row r="49" ht="15.75" customHeight="1" spans="1:25" x14ac:dyDescent="0.25">
      <c r="A49" s="25" t="s">
        <v>437</v>
      </c>
      <c r="B49" s="35">
        <v>351</v>
      </c>
      <c r="C49" s="25" t="s">
        <v>438</v>
      </c>
      <c r="D49" s="25" t="s">
        <v>439</v>
      </c>
      <c r="E49" s="53">
        <v>2200</v>
      </c>
      <c r="F49" s="50"/>
      <c r="G49" s="25"/>
      <c r="H49" s="25"/>
      <c r="I49" s="65">
        <v>2200</v>
      </c>
      <c r="J49" s="66"/>
      <c r="K49" s="66"/>
      <c r="L49" s="66"/>
      <c r="M49" s="66"/>
      <c r="N49" s="66"/>
      <c r="O49" s="66"/>
      <c r="P49" s="66"/>
      <c r="Q49" s="66"/>
      <c r="R49" s="25"/>
      <c r="S49" s="36"/>
      <c r="T49" s="53">
        <f t="shared" si="2"/>
        <v>39461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352</v>
      </c>
      <c r="C50" s="25" t="s">
        <v>440</v>
      </c>
      <c r="D50" s="25" t="s">
        <v>420</v>
      </c>
      <c r="E50" s="53">
        <v>500</v>
      </c>
      <c r="F50" s="50"/>
      <c r="G50" s="35">
        <v>5</v>
      </c>
      <c r="H50" s="25">
        <v>100</v>
      </c>
      <c r="I50" s="65">
        <v>500</v>
      </c>
      <c r="J50" s="66"/>
      <c r="K50" s="66"/>
      <c r="L50" s="66"/>
      <c r="M50" s="66"/>
      <c r="N50" s="66"/>
      <c r="O50" s="66"/>
      <c r="P50" s="66"/>
      <c r="Q50" s="66"/>
      <c r="R50" s="25"/>
      <c r="S50" s="36"/>
      <c r="T50" s="53">
        <f t="shared" si="2"/>
        <v>38961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353</v>
      </c>
      <c r="C51" s="25" t="s">
        <v>13</v>
      </c>
      <c r="D51" s="25"/>
      <c r="E51" s="53">
        <v>2500</v>
      </c>
      <c r="F51" s="50"/>
      <c r="G51" s="25"/>
      <c r="H51" s="25"/>
      <c r="I51" s="65"/>
      <c r="J51" s="66"/>
      <c r="K51" s="66"/>
      <c r="L51" s="66"/>
      <c r="M51" s="66"/>
      <c r="N51" s="66"/>
      <c r="O51" s="66"/>
      <c r="P51" s="66"/>
      <c r="Q51" s="66">
        <v>2500</v>
      </c>
      <c r="R51" s="25"/>
      <c r="S51" s="36"/>
      <c r="T51" s="53">
        <f t="shared" si="2"/>
        <v>36461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354</v>
      </c>
      <c r="C52" s="25" t="s">
        <v>389</v>
      </c>
      <c r="D52" s="25" t="s">
        <v>441</v>
      </c>
      <c r="E52" s="53">
        <v>3500</v>
      </c>
      <c r="F52" s="50"/>
      <c r="G52" s="35">
        <v>35</v>
      </c>
      <c r="H52" s="25">
        <v>100</v>
      </c>
      <c r="I52" s="65">
        <v>3500</v>
      </c>
      <c r="J52" s="66"/>
      <c r="K52" s="66"/>
      <c r="L52" s="66"/>
      <c r="M52" s="66"/>
      <c r="N52" s="66"/>
      <c r="O52" s="66"/>
      <c r="P52" s="66"/>
      <c r="Q52" s="66"/>
      <c r="R52" s="25"/>
      <c r="S52" s="36"/>
      <c r="T52" s="53">
        <f t="shared" si="2"/>
        <v>32961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355</v>
      </c>
      <c r="C53" s="25" t="s">
        <v>394</v>
      </c>
      <c r="D53" s="25"/>
      <c r="E53" s="53"/>
      <c r="F53" s="68">
        <v>60000</v>
      </c>
      <c r="G53" s="25"/>
      <c r="H53" s="25"/>
      <c r="I53" s="65"/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>T52-E53+60000</f>
        <v>92961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356</v>
      </c>
      <c r="C54" s="25" t="s">
        <v>442</v>
      </c>
      <c r="D54" s="25" t="s">
        <v>54</v>
      </c>
      <c r="E54" s="53">
        <v>750</v>
      </c>
      <c r="F54" s="50"/>
      <c r="G54" s="35">
        <v>5</v>
      </c>
      <c r="H54" s="25">
        <v>150</v>
      </c>
      <c r="I54" s="65">
        <v>750</v>
      </c>
      <c r="J54" s="66"/>
      <c r="K54" s="66"/>
      <c r="L54" s="66"/>
      <c r="M54" s="66"/>
      <c r="N54" s="66"/>
      <c r="O54" s="66"/>
      <c r="P54" s="66"/>
      <c r="Q54" s="66"/>
      <c r="R54" s="25"/>
      <c r="S54" s="36"/>
      <c r="T54" s="53">
        <f t="shared" ref="T54:T84" si="3">T53-E54</f>
        <v>92211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357</v>
      </c>
      <c r="C55" s="25" t="s">
        <v>389</v>
      </c>
      <c r="D55" s="25" t="s">
        <v>54</v>
      </c>
      <c r="E55" s="53">
        <v>9100</v>
      </c>
      <c r="F55" s="50"/>
      <c r="G55" s="35">
        <v>91</v>
      </c>
      <c r="H55" s="25">
        <v>100</v>
      </c>
      <c r="I55" s="65">
        <v>9100</v>
      </c>
      <c r="J55" s="66"/>
      <c r="K55" s="66"/>
      <c r="L55" s="66"/>
      <c r="M55" s="66"/>
      <c r="N55" s="66"/>
      <c r="O55" s="66"/>
      <c r="P55" s="66"/>
      <c r="Q55" s="66"/>
      <c r="R55" s="25"/>
      <c r="S55" s="36"/>
      <c r="T55" s="53">
        <f t="shared" si="3"/>
        <v>83111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358</v>
      </c>
      <c r="C56" s="25" t="s">
        <v>389</v>
      </c>
      <c r="D56" s="25" t="s">
        <v>200</v>
      </c>
      <c r="E56" s="53">
        <v>32500</v>
      </c>
      <c r="F56" s="50"/>
      <c r="G56" s="35">
        <v>325</v>
      </c>
      <c r="H56" s="25">
        <v>100</v>
      </c>
      <c r="I56" s="65">
        <v>32500</v>
      </c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 t="shared" si="3"/>
        <v>50611</v>
      </c>
      <c r="U56" s="42"/>
      <c r="V56" s="42"/>
      <c r="W56" s="42"/>
      <c r="X56" s="42"/>
      <c r="Y56" s="42"/>
    </row>
    <row r="57" ht="15.75" customHeight="1" spans="1:25" x14ac:dyDescent="0.25">
      <c r="A57" s="25" t="s">
        <v>443</v>
      </c>
      <c r="B57" s="35">
        <v>359</v>
      </c>
      <c r="C57" s="25" t="s">
        <v>389</v>
      </c>
      <c r="D57" s="25" t="s">
        <v>441</v>
      </c>
      <c r="E57" s="53">
        <v>4700</v>
      </c>
      <c r="F57" s="50"/>
      <c r="G57" s="25">
        <v>47</v>
      </c>
      <c r="H57" s="25">
        <v>100</v>
      </c>
      <c r="I57" s="65">
        <v>4700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si="3"/>
        <v>45911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360</v>
      </c>
      <c r="C58" s="25" t="s">
        <v>322</v>
      </c>
      <c r="D58" s="25" t="s">
        <v>434</v>
      </c>
      <c r="E58" s="53">
        <v>240</v>
      </c>
      <c r="F58" s="50"/>
      <c r="G58" s="25"/>
      <c r="H58" s="25"/>
      <c r="I58" s="65"/>
      <c r="J58" s="66"/>
      <c r="K58" s="66"/>
      <c r="L58" s="66"/>
      <c r="M58" s="66"/>
      <c r="N58" s="66"/>
      <c r="O58" s="66">
        <v>240</v>
      </c>
      <c r="P58" s="66"/>
      <c r="Q58" s="66"/>
      <c r="R58" s="25"/>
      <c r="S58" s="36"/>
      <c r="T58" s="53">
        <f t="shared" si="3"/>
        <v>45671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361</v>
      </c>
      <c r="C59" s="25" t="s">
        <v>444</v>
      </c>
      <c r="D59" s="25" t="s">
        <v>411</v>
      </c>
      <c r="E59" s="53">
        <v>1100</v>
      </c>
      <c r="F59" s="50"/>
      <c r="G59" s="25"/>
      <c r="H59" s="25"/>
      <c r="I59" s="65"/>
      <c r="J59" s="66"/>
      <c r="K59" s="66"/>
      <c r="L59" s="66"/>
      <c r="M59" s="66"/>
      <c r="N59" s="66"/>
      <c r="O59" s="66"/>
      <c r="P59" s="66">
        <v>1100</v>
      </c>
      <c r="Q59" s="66"/>
      <c r="R59" s="25"/>
      <c r="S59" s="36"/>
      <c r="T59" s="53">
        <f t="shared" si="3"/>
        <v>44571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362</v>
      </c>
      <c r="C60" s="25" t="s">
        <v>98</v>
      </c>
      <c r="D60" s="25" t="s">
        <v>119</v>
      </c>
      <c r="E60" s="53">
        <v>300</v>
      </c>
      <c r="F60" s="50"/>
      <c r="G60" s="35"/>
      <c r="H60" s="35"/>
      <c r="I60" s="53"/>
      <c r="J60" s="66"/>
      <c r="K60" s="66"/>
      <c r="L60" s="66"/>
      <c r="M60" s="66">
        <v>300</v>
      </c>
      <c r="N60" s="66"/>
      <c r="O60" s="66"/>
      <c r="P60" s="66"/>
      <c r="Q60" s="66"/>
      <c r="R60" s="25"/>
      <c r="S60" s="36"/>
      <c r="T60" s="53">
        <f t="shared" si="3"/>
        <v>44271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363</v>
      </c>
      <c r="C61" s="25" t="s">
        <v>445</v>
      </c>
      <c r="D61" s="25" t="s">
        <v>28</v>
      </c>
      <c r="E61" s="53">
        <v>1630</v>
      </c>
      <c r="F61" s="50"/>
      <c r="G61" s="35"/>
      <c r="H61" s="35"/>
      <c r="I61" s="53"/>
      <c r="J61" s="66"/>
      <c r="K61" s="66"/>
      <c r="L61" s="66">
        <v>1630</v>
      </c>
      <c r="M61" s="66"/>
      <c r="N61" s="66"/>
      <c r="O61" s="66"/>
      <c r="P61" s="66"/>
      <c r="Q61" s="66"/>
      <c r="R61" s="25"/>
      <c r="S61" s="36"/>
      <c r="T61" s="53">
        <f t="shared" si="3"/>
        <v>42641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364</v>
      </c>
      <c r="C62" s="25" t="s">
        <v>446</v>
      </c>
      <c r="D62" s="25" t="s">
        <v>345</v>
      </c>
      <c r="E62" s="53">
        <v>4900</v>
      </c>
      <c r="F62" s="50"/>
      <c r="G62" s="25"/>
      <c r="H62" s="35"/>
      <c r="I62" s="53"/>
      <c r="J62" s="66"/>
      <c r="K62" s="66"/>
      <c r="L62" s="66"/>
      <c r="M62" s="66"/>
      <c r="N62" s="66"/>
      <c r="O62" s="66"/>
      <c r="P62" s="66"/>
      <c r="Q62" s="66"/>
      <c r="R62" s="25">
        <v>4900</v>
      </c>
      <c r="S62" s="36"/>
      <c r="T62" s="53">
        <f t="shared" si="3"/>
        <v>37741</v>
      </c>
      <c r="U62" s="42"/>
      <c r="V62" s="42"/>
      <c r="W62" s="42"/>
      <c r="X62" s="42"/>
      <c r="Y62" s="42"/>
    </row>
    <row r="63" ht="15.75" customHeight="1" spans="1:25" x14ac:dyDescent="0.25">
      <c r="A63" s="25"/>
      <c r="B63" s="35">
        <v>365</v>
      </c>
      <c r="C63" s="25" t="s">
        <v>431</v>
      </c>
      <c r="D63" s="25" t="s">
        <v>52</v>
      </c>
      <c r="E63" s="53">
        <v>1200</v>
      </c>
      <c r="F63" s="50"/>
      <c r="G63" s="25">
        <v>12</v>
      </c>
      <c r="H63" s="35">
        <v>100</v>
      </c>
      <c r="I63" s="53">
        <v>1200</v>
      </c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 t="shared" si="3"/>
        <v>36541</v>
      </c>
      <c r="U63" s="42"/>
      <c r="V63" s="42"/>
      <c r="W63" s="42"/>
      <c r="X63" s="42"/>
      <c r="Y63" s="42"/>
    </row>
    <row r="64" ht="15.75" customHeight="1" spans="1:25" x14ac:dyDescent="0.25">
      <c r="A64" s="25" t="s">
        <v>447</v>
      </c>
      <c r="B64" s="35">
        <v>366</v>
      </c>
      <c r="C64" s="25" t="s">
        <v>389</v>
      </c>
      <c r="D64" s="25" t="s">
        <v>448</v>
      </c>
      <c r="E64" s="53">
        <v>700</v>
      </c>
      <c r="F64" s="50"/>
      <c r="G64" s="25">
        <v>7</v>
      </c>
      <c r="H64" s="35">
        <v>100</v>
      </c>
      <c r="I64" s="53">
        <v>700</v>
      </c>
      <c r="J64" s="66"/>
      <c r="K64" s="66"/>
      <c r="L64" s="66"/>
      <c r="M64" s="67"/>
      <c r="N64" s="66"/>
      <c r="O64" s="66"/>
      <c r="P64" s="66"/>
      <c r="Q64" s="66"/>
      <c r="R64" s="25"/>
      <c r="S64" s="36"/>
      <c r="T64" s="53">
        <f t="shared" si="3"/>
        <v>35841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367</v>
      </c>
      <c r="C65" s="25" t="s">
        <v>440</v>
      </c>
      <c r="D65" s="25" t="s">
        <v>420</v>
      </c>
      <c r="E65" s="53">
        <v>2100</v>
      </c>
      <c r="F65" s="50"/>
      <c r="G65" s="25">
        <v>21</v>
      </c>
      <c r="H65" s="35">
        <v>100</v>
      </c>
      <c r="I65" s="53">
        <v>2100</v>
      </c>
      <c r="J65" s="66"/>
      <c r="K65" s="66"/>
      <c r="L65" s="66"/>
      <c r="M65" s="66"/>
      <c r="N65" s="66"/>
      <c r="O65" s="66"/>
      <c r="P65" s="67"/>
      <c r="Q65" s="66"/>
      <c r="R65" s="25"/>
      <c r="S65" s="36"/>
      <c r="T65" s="53">
        <f t="shared" si="3"/>
        <v>33741</v>
      </c>
      <c r="U65" s="42"/>
      <c r="V65" s="42"/>
      <c r="W65" s="42"/>
      <c r="X65" s="42"/>
      <c r="Y65" s="42"/>
    </row>
    <row r="66" ht="15.75" customHeight="1" spans="1:25" x14ac:dyDescent="0.25">
      <c r="A66" s="25" t="s">
        <v>449</v>
      </c>
      <c r="B66" s="35">
        <v>368</v>
      </c>
      <c r="C66" s="25" t="s">
        <v>431</v>
      </c>
      <c r="D66" s="25" t="s">
        <v>441</v>
      </c>
      <c r="E66" s="53">
        <v>400</v>
      </c>
      <c r="F66" s="50"/>
      <c r="G66" s="35">
        <v>4</v>
      </c>
      <c r="H66" s="35">
        <v>100</v>
      </c>
      <c r="I66" s="53">
        <v>400</v>
      </c>
      <c r="J66" s="66"/>
      <c r="K66" s="66"/>
      <c r="L66" s="66"/>
      <c r="M66" s="66"/>
      <c r="N66" s="66"/>
      <c r="O66" s="66"/>
      <c r="P66" s="66"/>
      <c r="Q66" s="66"/>
      <c r="R66" s="25"/>
      <c r="S66" s="36"/>
      <c r="T66" s="53">
        <f t="shared" si="3"/>
        <v>33341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369</v>
      </c>
      <c r="C67" s="25" t="s">
        <v>431</v>
      </c>
      <c r="D67" s="25" t="s">
        <v>448</v>
      </c>
      <c r="E67" s="53">
        <v>600</v>
      </c>
      <c r="F67" s="50"/>
      <c r="G67" s="35">
        <v>6</v>
      </c>
      <c r="H67" s="35">
        <v>100</v>
      </c>
      <c r="I67" s="53">
        <v>600</v>
      </c>
      <c r="J67" s="66"/>
      <c r="K67" s="66"/>
      <c r="L67" s="66"/>
      <c r="M67" s="66"/>
      <c r="N67" s="66"/>
      <c r="O67" s="66"/>
      <c r="P67" s="66"/>
      <c r="Q67" s="66"/>
      <c r="R67" s="25"/>
      <c r="S67" s="36"/>
      <c r="T67" s="53">
        <f t="shared" si="3"/>
        <v>32741</v>
      </c>
      <c r="U67" s="42"/>
      <c r="V67" s="42"/>
      <c r="W67" s="42"/>
      <c r="X67" s="42"/>
      <c r="Y67" s="42"/>
    </row>
    <row r="68" ht="15.75" customHeight="1" spans="1:25" x14ac:dyDescent="0.25">
      <c r="A68" s="25" t="s">
        <v>450</v>
      </c>
      <c r="B68" s="35">
        <v>370</v>
      </c>
      <c r="C68" s="25" t="s">
        <v>451</v>
      </c>
      <c r="D68" s="25" t="s">
        <v>411</v>
      </c>
      <c r="E68" s="53">
        <v>450</v>
      </c>
      <c r="F68" s="50"/>
      <c r="G68" s="25"/>
      <c r="H68" s="25"/>
      <c r="I68" s="53"/>
      <c r="J68" s="66"/>
      <c r="K68" s="66"/>
      <c r="L68" s="66"/>
      <c r="M68" s="66"/>
      <c r="N68" s="66"/>
      <c r="O68" s="66"/>
      <c r="P68" s="66">
        <v>450</v>
      </c>
      <c r="Q68" s="66"/>
      <c r="R68" s="25"/>
      <c r="S68" s="36"/>
      <c r="T68" s="53">
        <f t="shared" si="3"/>
        <v>32291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371</v>
      </c>
      <c r="C69" s="25" t="s">
        <v>322</v>
      </c>
      <c r="D69" s="25" t="s">
        <v>434</v>
      </c>
      <c r="E69" s="53">
        <v>50</v>
      </c>
      <c r="F69" s="50"/>
      <c r="G69" s="25"/>
      <c r="H69" s="25"/>
      <c r="I69" s="65"/>
      <c r="J69" s="66"/>
      <c r="K69" s="66"/>
      <c r="L69" s="66"/>
      <c r="M69" s="66"/>
      <c r="N69" s="66"/>
      <c r="O69" s="67">
        <v>50</v>
      </c>
      <c r="P69" s="66"/>
      <c r="Q69" s="66"/>
      <c r="R69" s="25"/>
      <c r="S69" s="36"/>
      <c r="T69" s="53">
        <f t="shared" si="3"/>
        <v>32241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>
        <v>372</v>
      </c>
      <c r="C70" s="25" t="s">
        <v>431</v>
      </c>
      <c r="D70" s="25" t="s">
        <v>441</v>
      </c>
      <c r="E70" s="53">
        <v>200</v>
      </c>
      <c r="F70" s="50"/>
      <c r="G70" s="25">
        <v>2</v>
      </c>
      <c r="H70" s="25">
        <v>100</v>
      </c>
      <c r="I70" s="65">
        <v>200</v>
      </c>
      <c r="J70" s="66"/>
      <c r="K70" s="66"/>
      <c r="L70" s="66"/>
      <c r="M70" s="66"/>
      <c r="N70" s="66"/>
      <c r="O70" s="67"/>
      <c r="P70" s="66"/>
      <c r="Q70" s="66"/>
      <c r="R70" s="25"/>
      <c r="S70" s="36"/>
      <c r="T70" s="53">
        <f t="shared" si="3"/>
        <v>32041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373</v>
      </c>
      <c r="C71" s="25" t="s">
        <v>389</v>
      </c>
      <c r="D71" s="25" t="s">
        <v>452</v>
      </c>
      <c r="E71" s="53">
        <v>4200</v>
      </c>
      <c r="F71" s="50"/>
      <c r="G71" s="25">
        <v>42</v>
      </c>
      <c r="H71" s="25">
        <v>100</v>
      </c>
      <c r="I71" s="65">
        <v>4200</v>
      </c>
      <c r="J71" s="66"/>
      <c r="K71" s="66"/>
      <c r="L71" s="66"/>
      <c r="M71" s="66"/>
      <c r="N71" s="66"/>
      <c r="O71" s="66"/>
      <c r="P71" s="66"/>
      <c r="Q71" s="67"/>
      <c r="R71" s="25"/>
      <c r="S71" s="36"/>
      <c r="T71" s="53">
        <f t="shared" si="3"/>
        <v>27841</v>
      </c>
      <c r="U71" s="42"/>
      <c r="V71" s="42"/>
      <c r="W71" s="42"/>
      <c r="X71" s="42"/>
      <c r="Y71" s="42"/>
    </row>
    <row r="72" ht="15.75" customHeight="1" spans="1:25" x14ac:dyDescent="0.25">
      <c r="A72" s="25"/>
      <c r="B72" s="35">
        <v>374</v>
      </c>
      <c r="C72" s="25" t="s">
        <v>389</v>
      </c>
      <c r="D72" s="25" t="s">
        <v>453</v>
      </c>
      <c r="E72" s="53">
        <v>200</v>
      </c>
      <c r="F72" s="50"/>
      <c r="G72" s="25">
        <v>2</v>
      </c>
      <c r="H72" s="25">
        <v>100</v>
      </c>
      <c r="I72" s="65">
        <v>200</v>
      </c>
      <c r="J72" s="66"/>
      <c r="K72" s="66"/>
      <c r="L72" s="66"/>
      <c r="M72" s="66"/>
      <c r="N72" s="66"/>
      <c r="O72" s="66"/>
      <c r="P72" s="67"/>
      <c r="Q72" s="66"/>
      <c r="R72" s="25"/>
      <c r="S72" s="36"/>
      <c r="T72" s="53">
        <f t="shared" si="3"/>
        <v>27641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375</v>
      </c>
      <c r="C73" s="25" t="s">
        <v>389</v>
      </c>
      <c r="D73" s="25" t="s">
        <v>454</v>
      </c>
      <c r="E73" s="53">
        <v>500</v>
      </c>
      <c r="F73" s="50"/>
      <c r="G73" s="35">
        <v>5</v>
      </c>
      <c r="H73" s="35">
        <v>100</v>
      </c>
      <c r="I73" s="53">
        <v>500</v>
      </c>
      <c r="J73" s="66"/>
      <c r="K73" s="66"/>
      <c r="L73" s="66"/>
      <c r="M73" s="66"/>
      <c r="N73" s="66"/>
      <c r="O73" s="66"/>
      <c r="P73" s="66"/>
      <c r="Q73" s="66"/>
      <c r="R73" s="25"/>
      <c r="S73" s="36"/>
      <c r="T73" s="53">
        <f t="shared" si="3"/>
        <v>27141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376</v>
      </c>
      <c r="C74" s="25" t="s">
        <v>389</v>
      </c>
      <c r="D74" s="25" t="s">
        <v>455</v>
      </c>
      <c r="E74" s="53">
        <v>5000</v>
      </c>
      <c r="F74" s="50"/>
      <c r="G74" s="35">
        <v>50</v>
      </c>
      <c r="H74" s="35">
        <v>100</v>
      </c>
      <c r="I74" s="53">
        <v>5000</v>
      </c>
      <c r="J74" s="66"/>
      <c r="K74" s="66"/>
      <c r="L74" s="66"/>
      <c r="M74" s="66"/>
      <c r="N74" s="66"/>
      <c r="O74" s="66"/>
      <c r="P74" s="66"/>
      <c r="Q74" s="66"/>
      <c r="R74" s="25"/>
      <c r="S74" s="36"/>
      <c r="T74" s="53">
        <f t="shared" si="3"/>
        <v>22141</v>
      </c>
      <c r="U74" s="42"/>
      <c r="V74" s="42"/>
      <c r="W74" s="42"/>
      <c r="X74" s="42"/>
      <c r="Y74" s="42"/>
    </row>
    <row r="75" ht="15.75" customHeight="1" spans="1:25" x14ac:dyDescent="0.25">
      <c r="A75" s="25" t="s">
        <v>456</v>
      </c>
      <c r="B75" s="35">
        <v>377</v>
      </c>
      <c r="C75" s="25" t="s">
        <v>457</v>
      </c>
      <c r="D75" s="25" t="s">
        <v>420</v>
      </c>
      <c r="E75" s="53">
        <v>660</v>
      </c>
      <c r="F75" s="50"/>
      <c r="G75" s="35">
        <v>11</v>
      </c>
      <c r="H75" s="35">
        <v>60</v>
      </c>
      <c r="I75" s="53">
        <v>660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3"/>
        <v>21481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>
        <v>378</v>
      </c>
      <c r="C76" s="25" t="s">
        <v>458</v>
      </c>
      <c r="D76" s="25" t="s">
        <v>372</v>
      </c>
      <c r="E76" s="53">
        <v>2040</v>
      </c>
      <c r="F76" s="50"/>
      <c r="G76" s="35">
        <v>68</v>
      </c>
      <c r="H76" s="35">
        <v>30</v>
      </c>
      <c r="I76" s="53">
        <f>G76*H76</f>
        <v>2040</v>
      </c>
      <c r="J76" s="66"/>
      <c r="K76" s="66"/>
      <c r="L76" s="66"/>
      <c r="M76" s="66"/>
      <c r="N76" s="66"/>
      <c r="O76" s="66"/>
      <c r="P76" s="66"/>
      <c r="Q76" s="66"/>
      <c r="R76" s="25"/>
      <c r="S76" s="36"/>
      <c r="T76" s="53">
        <f t="shared" si="3"/>
        <v>19441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379</v>
      </c>
      <c r="C77" s="25" t="s">
        <v>459</v>
      </c>
      <c r="D77" s="25" t="s">
        <v>460</v>
      </c>
      <c r="E77" s="53">
        <v>6100</v>
      </c>
      <c r="F77" s="50"/>
      <c r="G77" s="35"/>
      <c r="H77" s="35"/>
      <c r="I77" s="53"/>
      <c r="J77" s="66"/>
      <c r="K77" s="66"/>
      <c r="L77" s="66"/>
      <c r="M77" s="66"/>
      <c r="N77" s="66"/>
      <c r="O77" s="66"/>
      <c r="P77" s="66">
        <v>6100</v>
      </c>
      <c r="Q77" s="66"/>
      <c r="R77" s="25"/>
      <c r="S77" s="36"/>
      <c r="T77" s="53">
        <f t="shared" si="3"/>
        <v>13341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380</v>
      </c>
      <c r="C78" s="25" t="s">
        <v>461</v>
      </c>
      <c r="D78" s="25" t="s">
        <v>462</v>
      </c>
      <c r="E78" s="53">
        <v>500</v>
      </c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>
        <v>500</v>
      </c>
      <c r="Q78" s="66"/>
      <c r="R78" s="25"/>
      <c r="S78" s="36"/>
      <c r="T78" s="53">
        <f t="shared" si="3"/>
        <v>12841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381</v>
      </c>
      <c r="C79" s="25" t="s">
        <v>13</v>
      </c>
      <c r="D79" s="25" t="s">
        <v>104</v>
      </c>
      <c r="E79" s="53">
        <v>2500</v>
      </c>
      <c r="F79" s="50"/>
      <c r="G79" s="25"/>
      <c r="H79" s="25"/>
      <c r="I79" s="65"/>
      <c r="J79" s="66"/>
      <c r="K79" s="66"/>
      <c r="L79" s="66"/>
      <c r="M79" s="66"/>
      <c r="N79" s="66"/>
      <c r="O79" s="66"/>
      <c r="P79" s="66"/>
      <c r="Q79" s="66">
        <v>2500</v>
      </c>
      <c r="R79" s="25"/>
      <c r="S79" s="36"/>
      <c r="T79" s="53">
        <f t="shared" si="3"/>
        <v>10341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382</v>
      </c>
      <c r="C80" s="25" t="s">
        <v>463</v>
      </c>
      <c r="D80" s="25" t="s">
        <v>464</v>
      </c>
      <c r="E80" s="53">
        <v>620</v>
      </c>
      <c r="F80" s="50"/>
      <c r="G80" s="25"/>
      <c r="H80" s="25"/>
      <c r="I80" s="65"/>
      <c r="J80" s="66"/>
      <c r="K80" s="67"/>
      <c r="L80" s="66"/>
      <c r="M80" s="66">
        <v>620</v>
      </c>
      <c r="N80" s="66"/>
      <c r="O80" s="66"/>
      <c r="P80" s="66"/>
      <c r="Q80" s="66"/>
      <c r="R80" s="25"/>
      <c r="S80" s="36"/>
      <c r="T80" s="53">
        <f t="shared" si="3"/>
        <v>9721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383</v>
      </c>
      <c r="C81" s="25" t="s">
        <v>384</v>
      </c>
      <c r="D81" s="25" t="s">
        <v>465</v>
      </c>
      <c r="E81" s="53">
        <v>360</v>
      </c>
      <c r="F81" s="50"/>
      <c r="G81" s="35"/>
      <c r="H81" s="35"/>
      <c r="I81" s="53"/>
      <c r="J81" s="66"/>
      <c r="K81" s="66"/>
      <c r="L81" s="66"/>
      <c r="M81" s="66"/>
      <c r="N81" s="66"/>
      <c r="O81" s="66"/>
      <c r="P81" s="66">
        <v>360</v>
      </c>
      <c r="Q81" s="66"/>
      <c r="R81" s="25"/>
      <c r="S81" s="36"/>
      <c r="T81" s="53">
        <f t="shared" si="3"/>
        <v>9361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384</v>
      </c>
      <c r="C82" s="25" t="s">
        <v>440</v>
      </c>
      <c r="D82" s="25" t="s">
        <v>420</v>
      </c>
      <c r="E82" s="53">
        <v>2300</v>
      </c>
      <c r="F82" s="50"/>
      <c r="G82" s="35">
        <v>23</v>
      </c>
      <c r="H82" s="35">
        <v>100</v>
      </c>
      <c r="I82" s="53">
        <v>2300</v>
      </c>
      <c r="J82" s="66"/>
      <c r="K82" s="66"/>
      <c r="L82" s="66"/>
      <c r="M82" s="66"/>
      <c r="N82" s="66"/>
      <c r="O82" s="66"/>
      <c r="P82" s="66"/>
      <c r="Q82" s="66"/>
      <c r="R82" s="25"/>
      <c r="S82" s="36"/>
      <c r="T82" s="53">
        <f t="shared" si="3"/>
        <v>7061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>
        <v>384</v>
      </c>
      <c r="C83" s="25" t="s">
        <v>466</v>
      </c>
      <c r="D83" s="25" t="s">
        <v>455</v>
      </c>
      <c r="E83" s="53">
        <v>1840</v>
      </c>
      <c r="F83" s="50"/>
      <c r="G83" s="35">
        <v>23</v>
      </c>
      <c r="H83" s="35">
        <v>80</v>
      </c>
      <c r="I83" s="53">
        <f>G83*H83</f>
        <v>1840</v>
      </c>
      <c r="J83" s="66"/>
      <c r="K83" s="66"/>
      <c r="L83" s="66"/>
      <c r="M83" s="66"/>
      <c r="N83" s="66"/>
      <c r="O83" s="66"/>
      <c r="P83" s="66"/>
      <c r="Q83" s="66"/>
      <c r="R83" s="25"/>
      <c r="S83" s="36"/>
      <c r="T83" s="53">
        <f t="shared" si="3"/>
        <v>5221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385</v>
      </c>
      <c r="C84" s="25" t="s">
        <v>389</v>
      </c>
      <c r="D84" s="25" t="s">
        <v>455</v>
      </c>
      <c r="E84" s="53">
        <v>6600</v>
      </c>
      <c r="F84" s="50"/>
      <c r="G84" s="25">
        <v>66</v>
      </c>
      <c r="H84" s="25">
        <v>100</v>
      </c>
      <c r="I84" s="65">
        <v>6600</v>
      </c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3"/>
        <v>-1379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/>
      <c r="C85" s="25" t="s">
        <v>394</v>
      </c>
      <c r="D85" s="25"/>
      <c r="E85" s="53"/>
      <c r="F85" s="50">
        <v>60000</v>
      </c>
      <c r="G85" s="25"/>
      <c r="H85" s="25"/>
      <c r="I85" s="65"/>
      <c r="J85" s="66"/>
      <c r="K85" s="66"/>
      <c r="L85" s="66"/>
      <c r="M85" s="66"/>
      <c r="N85" s="66"/>
      <c r="O85" s="66"/>
      <c r="P85" s="66"/>
      <c r="Q85" s="67"/>
      <c r="R85" s="25"/>
      <c r="S85" s="36"/>
      <c r="T85" s="53">
        <f>T84-E85+60000</f>
        <v>58621</v>
      </c>
      <c r="U85" s="42"/>
      <c r="V85" s="42"/>
      <c r="W85" s="42"/>
      <c r="X85" s="42"/>
      <c r="Y85" s="42"/>
    </row>
    <row r="86" ht="15.75" customHeight="1" spans="1:25" x14ac:dyDescent="0.25">
      <c r="A86" s="25" t="s">
        <v>467</v>
      </c>
      <c r="B86" s="35">
        <v>386</v>
      </c>
      <c r="C86" s="25" t="s">
        <v>389</v>
      </c>
      <c r="D86" s="25" t="s">
        <v>263</v>
      </c>
      <c r="E86" s="53">
        <v>7900</v>
      </c>
      <c r="F86" s="50"/>
      <c r="G86" s="25">
        <v>79</v>
      </c>
      <c r="H86" s="25">
        <v>100</v>
      </c>
      <c r="I86" s="65">
        <f t="shared" ref="I86:I89" si="4">G86*H86</f>
        <v>7900</v>
      </c>
      <c r="J86" s="66"/>
      <c r="K86" s="66"/>
      <c r="L86" s="66"/>
      <c r="M86" s="66"/>
      <c r="N86" s="66"/>
      <c r="O86" s="66"/>
      <c r="P86" s="67"/>
      <c r="Q86" s="66"/>
      <c r="R86" s="25"/>
      <c r="S86" s="36"/>
      <c r="T86" s="53">
        <f t="shared" ref="T86:T89" si="5">T85-E86</f>
        <v>50721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387</v>
      </c>
      <c r="C87" s="25" t="s">
        <v>389</v>
      </c>
      <c r="D87" s="25" t="s">
        <v>453</v>
      </c>
      <c r="E87" s="53">
        <v>1900</v>
      </c>
      <c r="F87" s="50"/>
      <c r="G87" s="25">
        <v>19</v>
      </c>
      <c r="H87" s="25">
        <v>100</v>
      </c>
      <c r="I87" s="65">
        <f t="shared" si="4"/>
        <v>1900</v>
      </c>
      <c r="J87" s="66"/>
      <c r="K87" s="66"/>
      <c r="L87" s="66"/>
      <c r="M87" s="66"/>
      <c r="N87" s="66"/>
      <c r="O87" s="66"/>
      <c r="P87" s="67"/>
      <c r="Q87" s="66"/>
      <c r="R87" s="25"/>
      <c r="S87" s="36"/>
      <c r="T87" s="53">
        <f t="shared" si="5"/>
        <v>48821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388</v>
      </c>
      <c r="C88" s="25" t="s">
        <v>389</v>
      </c>
      <c r="D88" s="25" t="s">
        <v>54</v>
      </c>
      <c r="E88" s="53">
        <v>6500</v>
      </c>
      <c r="F88" s="50"/>
      <c r="G88" s="25">
        <v>65</v>
      </c>
      <c r="H88" s="25">
        <v>100</v>
      </c>
      <c r="I88" s="65">
        <f t="shared" si="4"/>
        <v>6500</v>
      </c>
      <c r="J88" s="66"/>
      <c r="K88" s="66"/>
      <c r="L88" s="66"/>
      <c r="M88" s="66"/>
      <c r="N88" s="66"/>
      <c r="O88" s="66"/>
      <c r="P88" s="67"/>
      <c r="Q88" s="66"/>
      <c r="R88" s="25"/>
      <c r="S88" s="36"/>
      <c r="T88" s="53">
        <f t="shared" si="5"/>
        <v>42321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389</v>
      </c>
      <c r="C89" s="25" t="s">
        <v>389</v>
      </c>
      <c r="D89" s="25" t="s">
        <v>200</v>
      </c>
      <c r="E89" s="53">
        <v>74600</v>
      </c>
      <c r="F89" s="50"/>
      <c r="G89" s="25">
        <v>746</v>
      </c>
      <c r="H89" s="25">
        <v>100</v>
      </c>
      <c r="I89" s="65">
        <f t="shared" si="4"/>
        <v>74600</v>
      </c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5"/>
        <v>-32279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/>
      <c r="C90" s="25" t="s">
        <v>219</v>
      </c>
      <c r="D90" s="25"/>
      <c r="E90" s="53"/>
      <c r="F90" s="68">
        <v>30000</v>
      </c>
      <c r="G90" s="35"/>
      <c r="H90" s="35"/>
      <c r="I90" s="53"/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>T89-E90+30000</f>
        <v>-2279</v>
      </c>
      <c r="U90" s="42"/>
      <c r="V90" s="42"/>
      <c r="W90" s="42"/>
      <c r="X90" s="42"/>
      <c r="Y90" s="42"/>
    </row>
    <row r="91" ht="15.75" customHeight="1" spans="1:25" x14ac:dyDescent="0.25">
      <c r="A91" s="25" t="s">
        <v>468</v>
      </c>
      <c r="B91" s="35">
        <v>390</v>
      </c>
      <c r="C91" s="25" t="s">
        <v>13</v>
      </c>
      <c r="D91" s="25" t="s">
        <v>104</v>
      </c>
      <c r="E91" s="53">
        <v>9000</v>
      </c>
      <c r="F91" s="50"/>
      <c r="G91" s="25"/>
      <c r="H91" s="35"/>
      <c r="I91" s="53"/>
      <c r="J91" s="66"/>
      <c r="K91" s="66"/>
      <c r="L91" s="66"/>
      <c r="M91" s="66"/>
      <c r="N91" s="66"/>
      <c r="O91" s="66"/>
      <c r="P91" s="66"/>
      <c r="Q91" s="66">
        <v>9000</v>
      </c>
      <c r="R91" s="25"/>
      <c r="S91" s="36"/>
      <c r="T91" s="53">
        <f t="shared" ref="T91:T98" si="6">T90-E91</f>
        <v>-11279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391</v>
      </c>
      <c r="C92" s="25" t="s">
        <v>469</v>
      </c>
      <c r="D92" s="25" t="s">
        <v>397</v>
      </c>
      <c r="E92" s="53">
        <v>2500</v>
      </c>
      <c r="F92" s="50"/>
      <c r="G92" s="25"/>
      <c r="H92" s="35"/>
      <c r="I92" s="53"/>
      <c r="J92" s="66"/>
      <c r="K92" s="66">
        <v>2500</v>
      </c>
      <c r="L92" s="66"/>
      <c r="M92" s="66"/>
      <c r="N92" s="66"/>
      <c r="O92" s="66"/>
      <c r="P92" s="66"/>
      <c r="Q92" s="66"/>
      <c r="R92" s="25"/>
      <c r="S92" s="36"/>
      <c r="T92" s="53">
        <f t="shared" si="6"/>
        <v>-13779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392</v>
      </c>
      <c r="C93" s="25" t="s">
        <v>57</v>
      </c>
      <c r="D93" s="25" t="s">
        <v>257</v>
      </c>
      <c r="E93" s="53">
        <v>360</v>
      </c>
      <c r="F93" s="50"/>
      <c r="G93" s="25"/>
      <c r="H93" s="35"/>
      <c r="I93" s="53"/>
      <c r="J93" s="66"/>
      <c r="K93" s="66"/>
      <c r="L93" s="66"/>
      <c r="M93" s="66"/>
      <c r="N93" s="66"/>
      <c r="O93" s="66"/>
      <c r="P93" s="66">
        <v>360</v>
      </c>
      <c r="Q93" s="66"/>
      <c r="R93" s="25"/>
      <c r="S93" s="36"/>
      <c r="T93" s="53">
        <f t="shared" si="6"/>
        <v>-14139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>
        <v>393</v>
      </c>
      <c r="C94" s="25" t="s">
        <v>470</v>
      </c>
      <c r="D94" s="25" t="s">
        <v>471</v>
      </c>
      <c r="E94" s="53">
        <v>3000</v>
      </c>
      <c r="F94" s="50"/>
      <c r="G94" s="35"/>
      <c r="H94" s="35"/>
      <c r="I94" s="53"/>
      <c r="J94" s="66"/>
      <c r="K94" s="66"/>
      <c r="L94" s="66"/>
      <c r="M94" s="66"/>
      <c r="N94" s="66"/>
      <c r="O94" s="66"/>
      <c r="P94" s="66">
        <v>3000</v>
      </c>
      <c r="Q94" s="66"/>
      <c r="R94" s="25"/>
      <c r="S94" s="36"/>
      <c r="T94" s="53">
        <f t="shared" si="6"/>
        <v>-17139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>
        <v>394</v>
      </c>
      <c r="C95" s="25" t="s">
        <v>315</v>
      </c>
      <c r="D95" s="25" t="s">
        <v>472</v>
      </c>
      <c r="E95" s="53">
        <v>200</v>
      </c>
      <c r="F95" s="50"/>
      <c r="G95" s="35"/>
      <c r="H95" s="35"/>
      <c r="I95" s="53"/>
      <c r="J95" s="66"/>
      <c r="K95" s="66"/>
      <c r="L95" s="66"/>
      <c r="M95" s="66"/>
      <c r="N95" s="66"/>
      <c r="O95" s="66">
        <v>200</v>
      </c>
      <c r="P95" s="66"/>
      <c r="Q95" s="66"/>
      <c r="R95" s="25"/>
      <c r="S95" s="36"/>
      <c r="T95" s="53">
        <f t="shared" si="6"/>
        <v>-17339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>
        <v>395</v>
      </c>
      <c r="C96" s="25" t="s">
        <v>389</v>
      </c>
      <c r="D96" s="25" t="s">
        <v>69</v>
      </c>
      <c r="E96" s="53">
        <v>1900</v>
      </c>
      <c r="F96" s="50"/>
      <c r="G96" s="35">
        <v>19</v>
      </c>
      <c r="H96" s="35">
        <v>100</v>
      </c>
      <c r="I96" s="53">
        <v>1900</v>
      </c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6"/>
        <v>-19239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396</v>
      </c>
      <c r="C97" s="25" t="s">
        <v>389</v>
      </c>
      <c r="D97" s="25" t="s">
        <v>473</v>
      </c>
      <c r="E97" s="53">
        <v>2700</v>
      </c>
      <c r="F97" s="50"/>
      <c r="G97" s="35">
        <v>27</v>
      </c>
      <c r="H97" s="25">
        <v>100</v>
      </c>
      <c r="I97" s="65">
        <v>2700</v>
      </c>
      <c r="J97" s="66"/>
      <c r="K97" s="66"/>
      <c r="L97" s="66"/>
      <c r="M97" s="66"/>
      <c r="N97" s="66"/>
      <c r="O97" s="66"/>
      <c r="P97" s="66"/>
      <c r="Q97" s="66"/>
      <c r="R97" s="25"/>
      <c r="S97" s="36"/>
      <c r="T97" s="53">
        <f t="shared" si="6"/>
        <v>-21939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>
        <v>397</v>
      </c>
      <c r="C98" s="25" t="s">
        <v>389</v>
      </c>
      <c r="D98" s="25" t="s">
        <v>54</v>
      </c>
      <c r="E98" s="53">
        <v>8900</v>
      </c>
      <c r="F98" s="50"/>
      <c r="G98" s="35">
        <v>89</v>
      </c>
      <c r="H98" s="25">
        <v>100</v>
      </c>
      <c r="I98" s="65">
        <v>8900</v>
      </c>
      <c r="J98" s="66"/>
      <c r="K98" s="67"/>
      <c r="L98" s="66"/>
      <c r="M98" s="66"/>
      <c r="N98" s="66"/>
      <c r="O98" s="66"/>
      <c r="P98" s="66"/>
      <c r="Q98" s="66"/>
      <c r="R98" s="25"/>
      <c r="S98" s="36"/>
      <c r="T98" s="53">
        <f t="shared" si="6"/>
        <v>-30839</v>
      </c>
      <c r="U98" s="42"/>
      <c r="V98" s="42"/>
      <c r="W98" s="42"/>
      <c r="X98" s="42"/>
      <c r="Y98" s="42"/>
    </row>
    <row r="99" ht="15.75" customHeight="1" spans="1:25" x14ac:dyDescent="0.25">
      <c r="A99" s="25" t="s">
        <v>474</v>
      </c>
      <c r="B99" s="35"/>
      <c r="C99" s="25" t="s">
        <v>394</v>
      </c>
      <c r="D99" s="25"/>
      <c r="E99" s="53"/>
      <c r="F99" s="68">
        <v>60000</v>
      </c>
      <c r="G99" s="35"/>
      <c r="H99" s="35"/>
      <c r="I99" s="53"/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>T98-E99+60000</f>
        <v>29161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398</v>
      </c>
      <c r="C100" s="25" t="s">
        <v>475</v>
      </c>
      <c r="D100" s="25" t="s">
        <v>476</v>
      </c>
      <c r="E100" s="53">
        <v>910</v>
      </c>
      <c r="F100" s="50"/>
      <c r="G100" s="35"/>
      <c r="H100" s="35"/>
      <c r="I100" s="53"/>
      <c r="J100" s="66"/>
      <c r="K100" s="66"/>
      <c r="L100" s="66"/>
      <c r="M100" s="66"/>
      <c r="N100" s="66"/>
      <c r="O100" s="66"/>
      <c r="P100" s="66">
        <v>910</v>
      </c>
      <c r="Q100" s="66"/>
      <c r="R100" s="25"/>
      <c r="S100" s="36"/>
      <c r="T100" s="53">
        <f t="shared" ref="T100:T108" si="7">T99-E100</f>
        <v>28251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>
        <v>399</v>
      </c>
      <c r="C101" s="25" t="s">
        <v>477</v>
      </c>
      <c r="D101" s="25" t="s">
        <v>367</v>
      </c>
      <c r="E101" s="53">
        <v>1600</v>
      </c>
      <c r="F101" s="50"/>
      <c r="G101" s="25"/>
      <c r="H101" s="25"/>
      <c r="I101" s="65"/>
      <c r="J101" s="66"/>
      <c r="K101" s="66"/>
      <c r="L101" s="66"/>
      <c r="M101" s="66"/>
      <c r="N101" s="66"/>
      <c r="O101" s="66"/>
      <c r="P101" s="66">
        <v>1600</v>
      </c>
      <c r="Q101" s="67"/>
      <c r="R101" s="25"/>
      <c r="S101" s="36"/>
      <c r="T101" s="53">
        <f t="shared" si="7"/>
        <v>26651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400</v>
      </c>
      <c r="C102" s="25" t="s">
        <v>478</v>
      </c>
      <c r="D102" s="25" t="s">
        <v>479</v>
      </c>
      <c r="E102" s="53">
        <v>2900</v>
      </c>
      <c r="F102" s="50"/>
      <c r="G102" s="25"/>
      <c r="H102" s="25"/>
      <c r="I102" s="65"/>
      <c r="J102" s="66"/>
      <c r="K102" s="66"/>
      <c r="L102" s="66"/>
      <c r="M102" s="66"/>
      <c r="N102" s="66"/>
      <c r="O102" s="66"/>
      <c r="P102" s="66">
        <v>2900</v>
      </c>
      <c r="Q102" s="66"/>
      <c r="R102" s="25"/>
      <c r="S102" s="36"/>
      <c r="T102" s="53">
        <f t="shared" si="7"/>
        <v>23751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401</v>
      </c>
      <c r="C103" s="25" t="s">
        <v>480</v>
      </c>
      <c r="D103" s="25" t="s">
        <v>316</v>
      </c>
      <c r="E103" s="53">
        <v>490</v>
      </c>
      <c r="F103" s="50"/>
      <c r="G103" s="35"/>
      <c r="H103" s="25"/>
      <c r="I103" s="65"/>
      <c r="J103" s="66"/>
      <c r="K103" s="66"/>
      <c r="L103" s="66"/>
      <c r="M103" s="66"/>
      <c r="N103" s="66"/>
      <c r="O103" s="66">
        <v>490</v>
      </c>
      <c r="P103" s="66"/>
      <c r="Q103" s="66"/>
      <c r="R103" s="25"/>
      <c r="S103" s="36"/>
      <c r="T103" s="53">
        <f t="shared" si="7"/>
        <v>23261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402</v>
      </c>
      <c r="C104" s="25" t="s">
        <v>389</v>
      </c>
      <c r="D104" s="25" t="s">
        <v>481</v>
      </c>
      <c r="E104" s="53">
        <v>2200</v>
      </c>
      <c r="F104" s="50"/>
      <c r="G104" s="35">
        <v>22</v>
      </c>
      <c r="H104" s="35">
        <v>100</v>
      </c>
      <c r="I104" s="53">
        <f t="shared" ref="I104:I106" si="8">G104*H104</f>
        <v>2200</v>
      </c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7"/>
        <v>21061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>
        <v>403</v>
      </c>
      <c r="C105" s="25" t="s">
        <v>389</v>
      </c>
      <c r="D105" s="25" t="s">
        <v>54</v>
      </c>
      <c r="E105" s="53">
        <v>12200</v>
      </c>
      <c r="F105" s="50"/>
      <c r="G105" s="35">
        <v>122</v>
      </c>
      <c r="H105" s="35">
        <v>100</v>
      </c>
      <c r="I105" s="53">
        <f t="shared" si="8"/>
        <v>12200</v>
      </c>
      <c r="J105" s="66"/>
      <c r="K105" s="66"/>
      <c r="L105" s="66"/>
      <c r="M105" s="66"/>
      <c r="N105" s="66"/>
      <c r="O105" s="66"/>
      <c r="P105" s="66"/>
      <c r="Q105" s="66"/>
      <c r="R105" s="25"/>
      <c r="S105" s="36"/>
      <c r="T105" s="53">
        <f t="shared" si="7"/>
        <v>8861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>
        <v>404</v>
      </c>
      <c r="C106" s="25" t="s">
        <v>389</v>
      </c>
      <c r="D106" s="25" t="s">
        <v>455</v>
      </c>
      <c r="E106" s="53">
        <v>13600</v>
      </c>
      <c r="F106" s="50"/>
      <c r="G106" s="35">
        <v>136</v>
      </c>
      <c r="H106" s="35">
        <v>100</v>
      </c>
      <c r="I106" s="53">
        <f t="shared" si="8"/>
        <v>13600</v>
      </c>
      <c r="J106" s="66"/>
      <c r="K106" s="66"/>
      <c r="L106" s="66"/>
      <c r="M106" s="66"/>
      <c r="N106" s="66"/>
      <c r="O106" s="66"/>
      <c r="P106" s="66"/>
      <c r="Q106" s="66"/>
      <c r="R106" s="25"/>
      <c r="S106" s="36"/>
      <c r="T106" s="53">
        <f t="shared" si="7"/>
        <v>-4739</v>
      </c>
      <c r="U106" s="42"/>
      <c r="V106" s="42"/>
      <c r="W106" s="42"/>
      <c r="X106" s="42"/>
      <c r="Y106" s="42"/>
    </row>
    <row r="107" ht="15.75" customHeight="1" spans="1:25" x14ac:dyDescent="0.25">
      <c r="A107" s="25" t="s">
        <v>482</v>
      </c>
      <c r="B107" s="35">
        <v>405</v>
      </c>
      <c r="C107" s="25" t="s">
        <v>389</v>
      </c>
      <c r="D107" s="25" t="s">
        <v>452</v>
      </c>
      <c r="E107" s="53">
        <v>2000</v>
      </c>
      <c r="F107" s="50"/>
      <c r="G107" s="35">
        <v>20</v>
      </c>
      <c r="H107" s="35">
        <v>100</v>
      </c>
      <c r="I107" s="65">
        <v>2000</v>
      </c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7"/>
        <v>-6739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>
        <v>406</v>
      </c>
      <c r="C108" s="25" t="s">
        <v>389</v>
      </c>
      <c r="D108" s="25" t="s">
        <v>54</v>
      </c>
      <c r="E108" s="53">
        <v>5800</v>
      </c>
      <c r="F108" s="50"/>
      <c r="G108" s="35">
        <v>58</v>
      </c>
      <c r="H108" s="35">
        <v>100</v>
      </c>
      <c r="I108" s="53">
        <v>5800</v>
      </c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7"/>
        <v>-12539</v>
      </c>
      <c r="U108" s="42"/>
      <c r="V108" s="42"/>
      <c r="W108" s="42"/>
      <c r="X108" s="42"/>
      <c r="Y108" s="42"/>
    </row>
    <row r="109" ht="15.75" customHeight="1" spans="1:25" x14ac:dyDescent="0.25">
      <c r="A109" s="25" t="s">
        <v>483</v>
      </c>
      <c r="B109" s="35"/>
      <c r="C109" s="25" t="s">
        <v>394</v>
      </c>
      <c r="D109" s="25"/>
      <c r="E109" s="53"/>
      <c r="F109" s="68">
        <v>60000</v>
      </c>
      <c r="G109" s="35"/>
      <c r="H109" s="25"/>
      <c r="I109" s="65"/>
      <c r="J109" s="66"/>
      <c r="K109" s="66"/>
      <c r="L109" s="66"/>
      <c r="M109" s="67"/>
      <c r="N109" s="66"/>
      <c r="O109" s="66"/>
      <c r="P109" s="66"/>
      <c r="Q109" s="66"/>
      <c r="R109" s="25"/>
      <c r="S109" s="36"/>
      <c r="T109" s="53">
        <f>T108-E109+60000</f>
        <v>47461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>
        <v>407</v>
      </c>
      <c r="C110" s="25" t="s">
        <v>389</v>
      </c>
      <c r="D110" s="25" t="s">
        <v>455</v>
      </c>
      <c r="E110" s="53">
        <v>19800</v>
      </c>
      <c r="F110" s="50"/>
      <c r="G110" s="35">
        <v>198</v>
      </c>
      <c r="H110" s="35">
        <v>100</v>
      </c>
      <c r="I110" s="53">
        <v>19800</v>
      </c>
      <c r="J110" s="66"/>
      <c r="K110" s="66"/>
      <c r="L110" s="66"/>
      <c r="M110" s="66"/>
      <c r="N110" s="66"/>
      <c r="O110" s="66"/>
      <c r="P110" s="66"/>
      <c r="Q110" s="66"/>
      <c r="R110" s="25"/>
      <c r="S110" s="36"/>
      <c r="T110" s="53">
        <f t="shared" ref="T110:T116" si="9">T109-E110</f>
        <v>27661</v>
      </c>
      <c r="U110" s="42"/>
      <c r="V110" s="42"/>
      <c r="W110" s="42"/>
      <c r="X110" s="42"/>
      <c r="Y110" s="42"/>
    </row>
    <row r="111" ht="15.75" customHeight="1" spans="1:25" x14ac:dyDescent="0.25">
      <c r="A111" s="25" t="s">
        <v>484</v>
      </c>
      <c r="B111" s="35">
        <v>408</v>
      </c>
      <c r="C111" s="25" t="s">
        <v>389</v>
      </c>
      <c r="D111" s="25" t="s">
        <v>485</v>
      </c>
      <c r="E111" s="53">
        <v>1500</v>
      </c>
      <c r="F111" s="50"/>
      <c r="G111" s="35">
        <v>15</v>
      </c>
      <c r="H111" s="35">
        <v>100</v>
      </c>
      <c r="I111" s="53">
        <v>1500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9"/>
        <v>26161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>
        <v>409</v>
      </c>
      <c r="C112" s="25" t="s">
        <v>389</v>
      </c>
      <c r="D112" s="25" t="s">
        <v>54</v>
      </c>
      <c r="E112" s="53">
        <v>6700</v>
      </c>
      <c r="F112" s="50"/>
      <c r="G112" s="35">
        <v>67</v>
      </c>
      <c r="H112" s="35">
        <v>100</v>
      </c>
      <c r="I112" s="53">
        <v>6700</v>
      </c>
      <c r="J112" s="66"/>
      <c r="K112" s="66"/>
      <c r="L112" s="66"/>
      <c r="M112" s="66"/>
      <c r="N112" s="66"/>
      <c r="O112" s="66"/>
      <c r="P112" s="66"/>
      <c r="Q112" s="66"/>
      <c r="R112" s="25"/>
      <c r="S112" s="36"/>
      <c r="T112" s="53">
        <f t="shared" si="9"/>
        <v>19461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>
        <v>410</v>
      </c>
      <c r="C113" s="25" t="s">
        <v>389</v>
      </c>
      <c r="D113" s="25" t="s">
        <v>455</v>
      </c>
      <c r="E113" s="53">
        <v>12000</v>
      </c>
      <c r="F113" s="50"/>
      <c r="G113" s="35">
        <v>120</v>
      </c>
      <c r="H113" s="35">
        <v>100</v>
      </c>
      <c r="I113" s="65">
        <v>12000</v>
      </c>
      <c r="J113" s="66"/>
      <c r="K113" s="66"/>
      <c r="L113" s="66"/>
      <c r="M113" s="66"/>
      <c r="N113" s="66"/>
      <c r="O113" s="66"/>
      <c r="P113" s="66"/>
      <c r="Q113" s="66"/>
      <c r="R113" s="25"/>
      <c r="S113" s="36"/>
      <c r="T113" s="53">
        <f t="shared" si="9"/>
        <v>7461</v>
      </c>
      <c r="U113" s="42"/>
      <c r="V113" s="42"/>
      <c r="W113" s="42"/>
      <c r="X113" s="42"/>
      <c r="Y113" s="42"/>
    </row>
    <row r="114" ht="15.75" customHeight="1" spans="1:25" x14ac:dyDescent="0.25">
      <c r="A114" s="25" t="s">
        <v>486</v>
      </c>
      <c r="B114" s="35">
        <v>411</v>
      </c>
      <c r="C114" s="25" t="s">
        <v>487</v>
      </c>
      <c r="D114" s="25" t="s">
        <v>488</v>
      </c>
      <c r="E114" s="53">
        <v>1450</v>
      </c>
      <c r="F114" s="50"/>
      <c r="G114" s="35"/>
      <c r="H114" s="35"/>
      <c r="I114" s="53"/>
      <c r="J114" s="66"/>
      <c r="K114" s="66"/>
      <c r="L114" s="66"/>
      <c r="M114" s="66"/>
      <c r="N114" s="66">
        <v>1450</v>
      </c>
      <c r="O114" s="66"/>
      <c r="P114" s="66"/>
      <c r="Q114" s="66"/>
      <c r="R114" s="25"/>
      <c r="S114" s="36"/>
      <c r="T114" s="53">
        <f t="shared" si="9"/>
        <v>6011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>
        <v>412</v>
      </c>
      <c r="C115" s="25" t="s">
        <v>389</v>
      </c>
      <c r="D115" s="25" t="s">
        <v>489</v>
      </c>
      <c r="E115" s="53">
        <v>1000</v>
      </c>
      <c r="F115" s="50"/>
      <c r="G115" s="35">
        <v>10</v>
      </c>
      <c r="H115" s="35">
        <v>100</v>
      </c>
      <c r="I115" s="53">
        <v>1000</v>
      </c>
      <c r="J115" s="66"/>
      <c r="K115" s="66"/>
      <c r="L115" s="66"/>
      <c r="M115" s="66"/>
      <c r="N115" s="66"/>
      <c r="O115" s="66"/>
      <c r="P115" s="66"/>
      <c r="Q115" s="66"/>
      <c r="R115" s="25"/>
      <c r="S115" s="36"/>
      <c r="T115" s="53">
        <f t="shared" si="9"/>
        <v>5011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>
        <v>413</v>
      </c>
      <c r="C116" s="25" t="s">
        <v>389</v>
      </c>
      <c r="D116" s="25" t="s">
        <v>455</v>
      </c>
      <c r="E116" s="53">
        <v>16200</v>
      </c>
      <c r="F116" s="50"/>
      <c r="G116" s="25">
        <v>162</v>
      </c>
      <c r="H116" s="25">
        <v>100</v>
      </c>
      <c r="I116" s="65">
        <v>16200</v>
      </c>
      <c r="J116" s="66"/>
      <c r="K116" s="67"/>
      <c r="L116" s="66"/>
      <c r="M116" s="66"/>
      <c r="N116" s="66"/>
      <c r="O116" s="66"/>
      <c r="P116" s="66"/>
      <c r="Q116" s="66"/>
      <c r="R116" s="25"/>
      <c r="S116" s="36"/>
      <c r="T116" s="53">
        <f t="shared" si="9"/>
        <v>-11189</v>
      </c>
      <c r="U116" s="42"/>
      <c r="V116" s="42"/>
      <c r="W116" s="42"/>
      <c r="X116" s="42"/>
      <c r="Y116" s="42"/>
    </row>
    <row r="117" ht="15.75" customHeight="1" spans="1:25" x14ac:dyDescent="0.25">
      <c r="A117" s="26" t="s">
        <v>490</v>
      </c>
      <c r="B117" s="29"/>
      <c r="C117" s="26" t="s">
        <v>491</v>
      </c>
      <c r="D117" s="26"/>
      <c r="E117" s="56"/>
      <c r="F117" s="69">
        <v>103000</v>
      </c>
      <c r="G117" s="26"/>
      <c r="H117" s="25"/>
      <c r="I117" s="65"/>
      <c r="J117" s="66"/>
      <c r="K117" s="66"/>
      <c r="L117" s="66"/>
      <c r="M117" s="67"/>
      <c r="N117" s="66"/>
      <c r="O117" s="66"/>
      <c r="P117" s="66"/>
      <c r="Q117" s="66"/>
      <c r="R117" s="25"/>
      <c r="S117" s="36"/>
      <c r="T117" s="53">
        <f>T116-E117+103000</f>
        <v>91811</v>
      </c>
      <c r="U117" s="42"/>
      <c r="V117" s="42"/>
      <c r="W117" s="42"/>
      <c r="X117" s="42"/>
      <c r="Y117" s="42"/>
    </row>
    <row r="118" ht="15.75" customHeight="1" spans="1:25" x14ac:dyDescent="0.25">
      <c r="A118" s="26"/>
      <c r="B118" s="29">
        <v>414</v>
      </c>
      <c r="C118" s="26" t="s">
        <v>13</v>
      </c>
      <c r="D118" s="26" t="s">
        <v>104</v>
      </c>
      <c r="E118" s="56">
        <v>9000</v>
      </c>
      <c r="F118" s="57"/>
      <c r="G118" s="29"/>
      <c r="H118" s="25"/>
      <c r="I118" s="65"/>
      <c r="J118" s="66"/>
      <c r="K118" s="66"/>
      <c r="L118" s="66"/>
      <c r="M118" s="67"/>
      <c r="N118" s="66"/>
      <c r="O118" s="66"/>
      <c r="P118" s="66"/>
      <c r="Q118" s="66">
        <v>9000</v>
      </c>
      <c r="R118" s="25"/>
      <c r="S118" s="36"/>
      <c r="T118" s="53">
        <f t="shared" ref="T118:T127" si="10">T117-E118</f>
        <v>82811</v>
      </c>
      <c r="U118" s="42"/>
      <c r="V118" s="42"/>
      <c r="W118" s="42"/>
      <c r="X118" s="42"/>
      <c r="Y118" s="42"/>
    </row>
    <row r="119" ht="15.75" customHeight="1" spans="1:25" x14ac:dyDescent="0.25">
      <c r="A119" s="26"/>
      <c r="B119" s="29">
        <v>415</v>
      </c>
      <c r="C119" s="26" t="s">
        <v>469</v>
      </c>
      <c r="D119" s="26" t="s">
        <v>397</v>
      </c>
      <c r="E119" s="56">
        <v>2500</v>
      </c>
      <c r="F119" s="57"/>
      <c r="G119" s="29"/>
      <c r="H119" s="25"/>
      <c r="I119" s="65"/>
      <c r="J119" s="66"/>
      <c r="K119" s="66">
        <v>2500</v>
      </c>
      <c r="L119" s="66"/>
      <c r="M119" s="66"/>
      <c r="N119" s="66"/>
      <c r="O119" s="66"/>
      <c r="P119" s="67"/>
      <c r="Q119" s="66"/>
      <c r="R119" s="25"/>
      <c r="S119" s="36"/>
      <c r="T119" s="53">
        <f t="shared" si="10"/>
        <v>80311</v>
      </c>
      <c r="U119" s="42"/>
      <c r="V119" s="42"/>
      <c r="W119" s="42"/>
      <c r="X119" s="42"/>
      <c r="Y119" s="42"/>
    </row>
    <row r="120" ht="15.75" customHeight="1" spans="1:25" x14ac:dyDescent="0.25">
      <c r="A120" s="26"/>
      <c r="B120" s="29">
        <v>416</v>
      </c>
      <c r="C120" s="26" t="s">
        <v>57</v>
      </c>
      <c r="D120" s="26" t="s">
        <v>385</v>
      </c>
      <c r="E120" s="56">
        <v>380</v>
      </c>
      <c r="F120" s="57"/>
      <c r="G120" s="26"/>
      <c r="H120" s="35"/>
      <c r="I120" s="53"/>
      <c r="J120" s="66"/>
      <c r="K120" s="66"/>
      <c r="L120" s="66"/>
      <c r="M120" s="66"/>
      <c r="N120" s="66"/>
      <c r="O120" s="66"/>
      <c r="P120" s="66">
        <v>380</v>
      </c>
      <c r="Q120" s="66"/>
      <c r="R120" s="25"/>
      <c r="S120" s="55"/>
      <c r="T120" s="53">
        <f t="shared" si="10"/>
        <v>79931</v>
      </c>
      <c r="U120" s="42"/>
      <c r="V120" s="42"/>
      <c r="W120" s="42"/>
      <c r="X120" s="42"/>
      <c r="Y120" s="42"/>
    </row>
    <row r="121" ht="15.75" customHeight="1" spans="1:25" x14ac:dyDescent="0.25">
      <c r="A121" s="26"/>
      <c r="B121" s="29">
        <v>417</v>
      </c>
      <c r="C121" s="26" t="s">
        <v>389</v>
      </c>
      <c r="D121" s="26" t="s">
        <v>455</v>
      </c>
      <c r="E121" s="56">
        <v>15100</v>
      </c>
      <c r="F121" s="57"/>
      <c r="G121" s="29">
        <v>151</v>
      </c>
      <c r="H121" s="25">
        <v>100</v>
      </c>
      <c r="I121" s="65">
        <f t="shared" ref="I121:I123" si="11">G121*H121</f>
        <v>15100</v>
      </c>
      <c r="J121" s="66"/>
      <c r="K121" s="66"/>
      <c r="L121" s="67"/>
      <c r="M121" s="66"/>
      <c r="N121" s="66"/>
      <c r="O121" s="66"/>
      <c r="P121" s="66"/>
      <c r="Q121" s="66"/>
      <c r="R121" s="25"/>
      <c r="S121" s="55"/>
      <c r="T121" s="53">
        <f t="shared" si="10"/>
        <v>64831</v>
      </c>
      <c r="U121" s="42"/>
      <c r="V121" s="42"/>
      <c r="W121" s="42"/>
      <c r="X121" s="42"/>
      <c r="Y121" s="42"/>
    </row>
    <row r="122" ht="15.75" customHeight="1" spans="1:25" x14ac:dyDescent="0.25">
      <c r="A122" s="26"/>
      <c r="B122" s="29">
        <v>418</v>
      </c>
      <c r="C122" s="26" t="s">
        <v>389</v>
      </c>
      <c r="D122" s="26" t="s">
        <v>54</v>
      </c>
      <c r="E122" s="56">
        <v>14100</v>
      </c>
      <c r="F122" s="57"/>
      <c r="G122" s="29">
        <v>141</v>
      </c>
      <c r="H122" s="25">
        <v>100</v>
      </c>
      <c r="I122" s="65">
        <f t="shared" si="11"/>
        <v>14100</v>
      </c>
      <c r="J122" s="66"/>
      <c r="K122" s="66"/>
      <c r="L122" s="66"/>
      <c r="M122" s="67"/>
      <c r="N122" s="66"/>
      <c r="O122" s="66"/>
      <c r="P122" s="66"/>
      <c r="Q122" s="66"/>
      <c r="R122" s="25"/>
      <c r="S122" s="55"/>
      <c r="T122" s="53">
        <f t="shared" si="10"/>
        <v>50731</v>
      </c>
      <c r="U122" s="42"/>
      <c r="V122" s="42"/>
      <c r="W122" s="42"/>
      <c r="X122" s="42"/>
      <c r="Y122" s="42"/>
    </row>
    <row r="123" ht="15.75" customHeight="1" spans="1:25" x14ac:dyDescent="0.25">
      <c r="A123" s="26"/>
      <c r="B123" s="29">
        <v>419</v>
      </c>
      <c r="C123" s="26" t="s">
        <v>389</v>
      </c>
      <c r="D123" s="26" t="s">
        <v>200</v>
      </c>
      <c r="E123" s="56">
        <v>40900</v>
      </c>
      <c r="F123" s="57"/>
      <c r="G123" s="29">
        <v>409</v>
      </c>
      <c r="H123" s="25">
        <v>100</v>
      </c>
      <c r="I123" s="65">
        <f t="shared" si="11"/>
        <v>40900</v>
      </c>
      <c r="J123" s="66"/>
      <c r="K123" s="66"/>
      <c r="L123" s="66"/>
      <c r="M123" s="66"/>
      <c r="N123" s="66"/>
      <c r="O123" s="66"/>
      <c r="P123" s="67"/>
      <c r="Q123" s="66"/>
      <c r="R123" s="25"/>
      <c r="S123" s="55"/>
      <c r="T123" s="53">
        <f t="shared" si="10"/>
        <v>9831</v>
      </c>
      <c r="U123" s="42"/>
      <c r="V123" s="42"/>
      <c r="W123" s="42"/>
      <c r="X123" s="42"/>
      <c r="Y123" s="42"/>
    </row>
    <row r="124" ht="15.75" customHeight="1" spans="1:25" x14ac:dyDescent="0.25">
      <c r="A124" s="25" t="s">
        <v>492</v>
      </c>
      <c r="B124" s="35">
        <v>420</v>
      </c>
      <c r="C124" s="25" t="s">
        <v>487</v>
      </c>
      <c r="D124" s="25" t="s">
        <v>488</v>
      </c>
      <c r="E124" s="53">
        <v>2900</v>
      </c>
      <c r="F124" s="50"/>
      <c r="G124" s="35"/>
      <c r="H124" s="25"/>
      <c r="I124" s="65"/>
      <c r="J124" s="66"/>
      <c r="K124" s="66"/>
      <c r="L124" s="66"/>
      <c r="M124" s="66"/>
      <c r="N124" s="66">
        <v>2900</v>
      </c>
      <c r="O124" s="66"/>
      <c r="P124" s="67"/>
      <c r="Q124" s="66"/>
      <c r="R124" s="25"/>
      <c r="S124" s="55"/>
      <c r="T124" s="53">
        <f t="shared" si="10"/>
        <v>6931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421</v>
      </c>
      <c r="C125" s="25" t="s">
        <v>389</v>
      </c>
      <c r="D125" s="25" t="s">
        <v>311</v>
      </c>
      <c r="E125" s="53">
        <v>1500</v>
      </c>
      <c r="F125" s="50"/>
      <c r="G125" s="35">
        <v>15</v>
      </c>
      <c r="H125" s="25">
        <v>100</v>
      </c>
      <c r="I125" s="65">
        <v>1500</v>
      </c>
      <c r="J125" s="66"/>
      <c r="K125" s="66"/>
      <c r="L125" s="66"/>
      <c r="M125" s="66"/>
      <c r="N125" s="66"/>
      <c r="O125" s="66"/>
      <c r="P125" s="66"/>
      <c r="Q125" s="67"/>
      <c r="R125" s="25"/>
      <c r="S125" s="55"/>
      <c r="T125" s="53">
        <f t="shared" si="10"/>
        <v>5431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422</v>
      </c>
      <c r="C126" s="25" t="s">
        <v>389</v>
      </c>
      <c r="D126" s="25" t="s">
        <v>455</v>
      </c>
      <c r="E126" s="53">
        <v>8600</v>
      </c>
      <c r="F126" s="50"/>
      <c r="G126" s="35">
        <v>86</v>
      </c>
      <c r="H126" s="25">
        <v>100</v>
      </c>
      <c r="I126" s="65">
        <v>8600</v>
      </c>
      <c r="J126" s="66"/>
      <c r="K126" s="66"/>
      <c r="L126" s="66"/>
      <c r="M126" s="66"/>
      <c r="N126" s="66"/>
      <c r="O126" s="66"/>
      <c r="P126" s="67"/>
      <c r="Q126" s="66"/>
      <c r="R126" s="25"/>
      <c r="S126" s="55"/>
      <c r="T126" s="53">
        <f t="shared" si="10"/>
        <v>-3169</v>
      </c>
      <c r="U126" s="42"/>
      <c r="V126" s="42"/>
      <c r="W126" s="42"/>
      <c r="X126" s="42"/>
      <c r="Y126" s="42"/>
    </row>
    <row r="127" ht="15.75" customHeight="1" spans="1:25" x14ac:dyDescent="0.25">
      <c r="A127" s="25" t="s">
        <v>493</v>
      </c>
      <c r="B127" s="35">
        <v>433</v>
      </c>
      <c r="C127" s="25" t="s">
        <v>389</v>
      </c>
      <c r="D127" s="25" t="s">
        <v>54</v>
      </c>
      <c r="E127" s="53">
        <v>23300</v>
      </c>
      <c r="F127" s="50"/>
      <c r="G127" s="35">
        <v>233</v>
      </c>
      <c r="H127" s="25">
        <v>100</v>
      </c>
      <c r="I127" s="65">
        <f>G127*H127</f>
        <v>23300</v>
      </c>
      <c r="J127" s="66"/>
      <c r="K127" s="66"/>
      <c r="L127" s="66"/>
      <c r="M127" s="66"/>
      <c r="N127" s="66"/>
      <c r="O127" s="66"/>
      <c r="P127" s="66"/>
      <c r="Q127" s="66"/>
      <c r="R127" s="25"/>
      <c r="S127" s="36"/>
      <c r="T127" s="53">
        <f t="shared" si="10"/>
        <v>-26469</v>
      </c>
      <c r="U127" s="42"/>
      <c r="V127" s="42"/>
      <c r="W127" s="42"/>
      <c r="X127" s="42"/>
      <c r="Y127" s="42"/>
    </row>
    <row r="128" ht="15.75" customHeight="1" spans="1:25" x14ac:dyDescent="0.25">
      <c r="A128" s="25" t="s">
        <v>494</v>
      </c>
      <c r="B128" s="35"/>
      <c r="C128" s="25" t="s">
        <v>495</v>
      </c>
      <c r="D128" s="25"/>
      <c r="E128" s="53"/>
      <c r="F128" s="68">
        <v>80000</v>
      </c>
      <c r="G128" s="25"/>
      <c r="H128" s="35"/>
      <c r="I128" s="53"/>
      <c r="J128" s="66"/>
      <c r="K128" s="66"/>
      <c r="L128" s="66"/>
      <c r="M128" s="66"/>
      <c r="N128" s="66"/>
      <c r="O128" s="66"/>
      <c r="P128" s="66"/>
      <c r="Q128" s="66"/>
      <c r="R128" s="25"/>
      <c r="S128" s="36"/>
      <c r="T128" s="53">
        <f>T127-E128+80000</f>
        <v>53531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>
        <v>424</v>
      </c>
      <c r="C129" s="25" t="s">
        <v>496</v>
      </c>
      <c r="D129" s="25" t="s">
        <v>28</v>
      </c>
      <c r="E129" s="53">
        <v>1790</v>
      </c>
      <c r="F129" s="50"/>
      <c r="G129" s="25"/>
      <c r="H129" s="35"/>
      <c r="I129" s="53"/>
      <c r="J129" s="66"/>
      <c r="K129" s="66"/>
      <c r="L129" s="66">
        <v>1790</v>
      </c>
      <c r="M129" s="66"/>
      <c r="N129" s="66"/>
      <c r="O129" s="66"/>
      <c r="P129" s="66"/>
      <c r="Q129" s="66"/>
      <c r="R129" s="25"/>
      <c r="S129" s="36"/>
      <c r="T129" s="53">
        <f t="shared" ref="T129:T133" si="12">T128-E129</f>
        <v>51741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>
        <v>425</v>
      </c>
      <c r="C130" s="25" t="s">
        <v>322</v>
      </c>
      <c r="D130" s="25" t="s">
        <v>434</v>
      </c>
      <c r="E130" s="53">
        <v>1000</v>
      </c>
      <c r="F130" s="50"/>
      <c r="G130" s="25"/>
      <c r="H130" s="35"/>
      <c r="I130" s="53"/>
      <c r="J130" s="66"/>
      <c r="K130" s="66"/>
      <c r="L130" s="66"/>
      <c r="M130" s="66"/>
      <c r="N130" s="66"/>
      <c r="O130" s="66">
        <v>1000</v>
      </c>
      <c r="P130" s="66"/>
      <c r="Q130" s="66"/>
      <c r="R130" s="25"/>
      <c r="S130" s="36"/>
      <c r="T130" s="53">
        <f t="shared" si="12"/>
        <v>50741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>
        <v>426</v>
      </c>
      <c r="C131" s="25" t="s">
        <v>497</v>
      </c>
      <c r="D131" s="25" t="s">
        <v>411</v>
      </c>
      <c r="E131" s="53">
        <v>850</v>
      </c>
      <c r="F131" s="50"/>
      <c r="G131" s="25"/>
      <c r="H131" s="25"/>
      <c r="I131" s="65"/>
      <c r="J131" s="66"/>
      <c r="K131" s="66"/>
      <c r="L131" s="66"/>
      <c r="M131" s="66"/>
      <c r="N131" s="66"/>
      <c r="O131" s="66"/>
      <c r="P131" s="67">
        <v>850</v>
      </c>
      <c r="Q131" s="66"/>
      <c r="R131" s="25"/>
      <c r="S131" s="36"/>
      <c r="T131" s="53">
        <f t="shared" si="12"/>
        <v>49891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>
        <v>427</v>
      </c>
      <c r="C132" s="25" t="s">
        <v>389</v>
      </c>
      <c r="D132" s="25" t="s">
        <v>498</v>
      </c>
      <c r="E132" s="53">
        <v>900</v>
      </c>
      <c r="F132" s="50"/>
      <c r="G132" s="35">
        <v>9</v>
      </c>
      <c r="H132" s="25">
        <v>100</v>
      </c>
      <c r="I132" s="65">
        <v>900</v>
      </c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12"/>
        <v>48991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>
        <v>428</v>
      </c>
      <c r="C133" s="25" t="s">
        <v>389</v>
      </c>
      <c r="D133" s="25" t="s">
        <v>54</v>
      </c>
      <c r="E133" s="53">
        <v>20000</v>
      </c>
      <c r="F133" s="50"/>
      <c r="G133" s="35">
        <v>200</v>
      </c>
      <c r="H133" s="25">
        <v>100</v>
      </c>
      <c r="I133" s="65">
        <v>20000</v>
      </c>
      <c r="J133" s="66"/>
      <c r="K133" s="66"/>
      <c r="L133" s="66"/>
      <c r="M133" s="67"/>
      <c r="N133" s="66"/>
      <c r="O133" s="66"/>
      <c r="P133" s="66"/>
      <c r="Q133" s="66"/>
      <c r="R133" s="25"/>
      <c r="S133" s="36"/>
      <c r="T133" s="53">
        <f t="shared" si="12"/>
        <v>28991</v>
      </c>
      <c r="U133" s="42"/>
      <c r="V133" s="42"/>
      <c r="W133" s="42"/>
      <c r="X133" s="42"/>
      <c r="Y133" s="42"/>
    </row>
    <row r="134" ht="15.75" customHeight="1" spans="1:25" x14ac:dyDescent="0.25">
      <c r="A134" s="25" t="s">
        <v>499</v>
      </c>
      <c r="B134" s="35"/>
      <c r="C134" s="25" t="s">
        <v>500</v>
      </c>
      <c r="D134" s="25"/>
      <c r="E134" s="53"/>
      <c r="F134" s="68">
        <v>33000</v>
      </c>
      <c r="G134" s="35"/>
      <c r="H134" s="35"/>
      <c r="I134" s="53"/>
      <c r="J134" s="66"/>
      <c r="K134" s="66"/>
      <c r="L134" s="66"/>
      <c r="M134" s="66"/>
      <c r="N134" s="66"/>
      <c r="O134" s="66"/>
      <c r="P134" s="66"/>
      <c r="Q134" s="66"/>
      <c r="R134" s="25"/>
      <c r="S134" s="36"/>
      <c r="T134" s="53">
        <f>T133-E134+33000</f>
        <v>61991</v>
      </c>
      <c r="U134" s="42"/>
      <c r="V134" s="42"/>
      <c r="W134" s="42"/>
      <c r="X134" s="42"/>
      <c r="Y134" s="42"/>
    </row>
    <row r="135" ht="15.75" customHeight="1" spans="1:25" x14ac:dyDescent="0.25">
      <c r="A135" s="25"/>
      <c r="B135" s="35">
        <v>429</v>
      </c>
      <c r="C135" s="25" t="s">
        <v>389</v>
      </c>
      <c r="D135" s="25" t="s">
        <v>498</v>
      </c>
      <c r="E135" s="53">
        <v>2800</v>
      </c>
      <c r="F135" s="50"/>
      <c r="G135" s="35">
        <v>28</v>
      </c>
      <c r="H135" s="25">
        <v>100</v>
      </c>
      <c r="I135" s="65">
        <f t="shared" ref="I135:I137" si="13">G135*H135</f>
        <v>2800</v>
      </c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ref="T135:T147" si="14">T134-E135</f>
        <v>59191</v>
      </c>
      <c r="U135" s="42"/>
      <c r="V135" s="42"/>
      <c r="W135" s="42"/>
      <c r="X135" s="42"/>
      <c r="Y135" s="42"/>
    </row>
    <row r="136" ht="15.75" customHeight="1" spans="1:25" x14ac:dyDescent="0.25">
      <c r="A136" s="25"/>
      <c r="B136" s="35">
        <v>430</v>
      </c>
      <c r="C136" s="25" t="s">
        <v>389</v>
      </c>
      <c r="D136" s="25" t="s">
        <v>455</v>
      </c>
      <c r="E136" s="53">
        <v>5200</v>
      </c>
      <c r="F136" s="50"/>
      <c r="G136" s="35">
        <v>52</v>
      </c>
      <c r="H136" s="25">
        <v>100</v>
      </c>
      <c r="I136" s="65">
        <f t="shared" si="13"/>
        <v>5200</v>
      </c>
      <c r="J136" s="66"/>
      <c r="K136" s="66"/>
      <c r="L136" s="66"/>
      <c r="M136" s="66"/>
      <c r="N136" s="66"/>
      <c r="O136" s="66"/>
      <c r="P136" s="67"/>
      <c r="Q136" s="66"/>
      <c r="R136" s="25"/>
      <c r="S136" s="36"/>
      <c r="T136" s="53">
        <f t="shared" si="14"/>
        <v>53991</v>
      </c>
      <c r="U136" s="42"/>
      <c r="V136" s="42"/>
      <c r="W136" s="42"/>
      <c r="X136" s="42"/>
      <c r="Y136" s="42"/>
    </row>
    <row r="137" ht="15.75" customHeight="1" spans="1:25" x14ac:dyDescent="0.25">
      <c r="A137" s="25"/>
      <c r="B137" s="35">
        <v>431</v>
      </c>
      <c r="C137" s="25" t="s">
        <v>389</v>
      </c>
      <c r="D137" s="25" t="s">
        <v>69</v>
      </c>
      <c r="E137" s="53">
        <v>4000</v>
      </c>
      <c r="F137" s="50"/>
      <c r="G137" s="35">
        <v>40</v>
      </c>
      <c r="H137" s="25">
        <v>100</v>
      </c>
      <c r="I137" s="65">
        <f t="shared" si="13"/>
        <v>4000</v>
      </c>
      <c r="J137" s="66"/>
      <c r="K137" s="66"/>
      <c r="L137" s="66"/>
      <c r="M137" s="67"/>
      <c r="N137" s="66"/>
      <c r="O137" s="66"/>
      <c r="P137" s="66"/>
      <c r="Q137" s="66"/>
      <c r="R137" s="25"/>
      <c r="S137" s="36"/>
      <c r="T137" s="53">
        <f t="shared" si="14"/>
        <v>49991</v>
      </c>
      <c r="U137" s="42"/>
      <c r="V137" s="42"/>
      <c r="W137" s="42"/>
      <c r="X137" s="42"/>
      <c r="Y137" s="42"/>
    </row>
    <row r="138" ht="15.75" customHeight="1" spans="1:25" x14ac:dyDescent="0.25">
      <c r="A138" s="26" t="s">
        <v>501</v>
      </c>
      <c r="B138" s="29">
        <v>432</v>
      </c>
      <c r="C138" s="26" t="s">
        <v>502</v>
      </c>
      <c r="D138" s="26" t="s">
        <v>503</v>
      </c>
      <c r="E138" s="56">
        <v>500</v>
      </c>
      <c r="F138" s="57"/>
      <c r="G138" s="29"/>
      <c r="H138" s="25"/>
      <c r="I138" s="65"/>
      <c r="J138" s="66"/>
      <c r="K138" s="67">
        <v>500</v>
      </c>
      <c r="L138" s="66"/>
      <c r="M138" s="66"/>
      <c r="N138" s="66"/>
      <c r="O138" s="66"/>
      <c r="P138" s="66"/>
      <c r="Q138" s="66"/>
      <c r="R138" s="25"/>
      <c r="S138" s="36"/>
      <c r="T138" s="53">
        <f t="shared" si="14"/>
        <v>49491</v>
      </c>
      <c r="U138" s="42"/>
      <c r="V138" s="42"/>
      <c r="W138" s="42"/>
      <c r="X138" s="42"/>
      <c r="Y138" s="42"/>
    </row>
    <row r="139" ht="15.75" customHeight="1" spans="1:25" x14ac:dyDescent="0.25">
      <c r="A139" s="26"/>
      <c r="B139" s="29">
        <v>433</v>
      </c>
      <c r="C139" s="26" t="s">
        <v>504</v>
      </c>
      <c r="D139" s="26" t="s">
        <v>434</v>
      </c>
      <c r="E139" s="56">
        <v>200</v>
      </c>
      <c r="F139" s="57"/>
      <c r="G139" s="26"/>
      <c r="H139" s="25"/>
      <c r="I139" s="65"/>
      <c r="J139" s="66"/>
      <c r="K139" s="66"/>
      <c r="L139" s="66"/>
      <c r="M139" s="66"/>
      <c r="N139" s="66"/>
      <c r="O139" s="66">
        <v>200</v>
      </c>
      <c r="P139" s="67"/>
      <c r="Q139" s="66"/>
      <c r="R139" s="25"/>
      <c r="S139" s="36"/>
      <c r="T139" s="53">
        <f t="shared" si="14"/>
        <v>49291</v>
      </c>
      <c r="U139" s="42"/>
      <c r="V139" s="42"/>
      <c r="W139" s="42"/>
      <c r="X139" s="42"/>
      <c r="Y139" s="42"/>
    </row>
    <row r="140" ht="15.75" customHeight="1" spans="1:25" x14ac:dyDescent="0.25">
      <c r="A140" s="26"/>
      <c r="B140" s="29">
        <v>434</v>
      </c>
      <c r="C140" s="26" t="s">
        <v>98</v>
      </c>
      <c r="D140" s="26" t="s">
        <v>119</v>
      </c>
      <c r="E140" s="56">
        <v>500</v>
      </c>
      <c r="F140" s="57"/>
      <c r="G140" s="26"/>
      <c r="H140" s="25"/>
      <c r="I140" s="65"/>
      <c r="J140" s="66"/>
      <c r="K140" s="66"/>
      <c r="L140" s="66"/>
      <c r="M140" s="66">
        <v>500</v>
      </c>
      <c r="N140" s="66"/>
      <c r="O140" s="66"/>
      <c r="P140" s="66"/>
      <c r="Q140" s="66"/>
      <c r="R140" s="35"/>
      <c r="S140" s="36"/>
      <c r="T140" s="53">
        <f t="shared" si="14"/>
        <v>48791</v>
      </c>
      <c r="U140" s="42"/>
      <c r="V140" s="42"/>
      <c r="W140" s="42"/>
      <c r="X140" s="42"/>
      <c r="Y140" s="42"/>
    </row>
    <row r="141" ht="15.75" customHeight="1" spans="1:25" x14ac:dyDescent="0.25">
      <c r="A141" s="26"/>
      <c r="B141" s="29">
        <v>435</v>
      </c>
      <c r="C141" s="26" t="s">
        <v>389</v>
      </c>
      <c r="D141" s="26" t="s">
        <v>54</v>
      </c>
      <c r="E141" s="56">
        <v>15800</v>
      </c>
      <c r="F141" s="57"/>
      <c r="G141" s="29">
        <v>158</v>
      </c>
      <c r="H141" s="25">
        <v>100</v>
      </c>
      <c r="I141" s="65">
        <f t="shared" ref="I141:I143" si="15">G141*H141</f>
        <v>15800</v>
      </c>
      <c r="J141" s="66"/>
      <c r="K141" s="66"/>
      <c r="L141" s="66"/>
      <c r="M141" s="66"/>
      <c r="N141" s="66"/>
      <c r="O141" s="66"/>
      <c r="P141" s="66"/>
      <c r="Q141" s="66"/>
      <c r="R141" s="25"/>
      <c r="S141" s="36"/>
      <c r="T141" s="53">
        <f t="shared" si="14"/>
        <v>32991</v>
      </c>
      <c r="U141" s="42"/>
      <c r="V141" s="42"/>
      <c r="W141" s="42"/>
      <c r="X141" s="42"/>
      <c r="Y141" s="42"/>
    </row>
    <row r="142" ht="15.75" customHeight="1" spans="1:25" x14ac:dyDescent="0.25">
      <c r="A142" s="26"/>
      <c r="B142" s="29">
        <v>436</v>
      </c>
      <c r="C142" s="26" t="s">
        <v>389</v>
      </c>
      <c r="D142" s="26" t="s">
        <v>455</v>
      </c>
      <c r="E142" s="56">
        <v>15600</v>
      </c>
      <c r="F142" s="57"/>
      <c r="G142" s="29">
        <v>156</v>
      </c>
      <c r="H142" s="25">
        <v>100</v>
      </c>
      <c r="I142" s="65">
        <f t="shared" si="15"/>
        <v>15600</v>
      </c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14"/>
        <v>17391</v>
      </c>
      <c r="U142" s="42"/>
      <c r="V142" s="42"/>
      <c r="W142" s="42"/>
      <c r="X142" s="42"/>
      <c r="Y142" s="42"/>
    </row>
    <row r="143" ht="15.75" customHeight="1" spans="1:25" x14ac:dyDescent="0.25">
      <c r="A143" s="26"/>
      <c r="B143" s="29">
        <v>437</v>
      </c>
      <c r="C143" s="26" t="s">
        <v>389</v>
      </c>
      <c r="D143" s="26" t="s">
        <v>432</v>
      </c>
      <c r="E143" s="56">
        <v>2500</v>
      </c>
      <c r="F143" s="57"/>
      <c r="G143" s="29">
        <v>25</v>
      </c>
      <c r="H143" s="25">
        <v>100</v>
      </c>
      <c r="I143" s="65">
        <f t="shared" si="15"/>
        <v>2500</v>
      </c>
      <c r="J143" s="66"/>
      <c r="K143" s="66"/>
      <c r="L143" s="66"/>
      <c r="M143" s="66"/>
      <c r="N143" s="66"/>
      <c r="O143" s="66"/>
      <c r="P143" s="67"/>
      <c r="Q143" s="66"/>
      <c r="R143" s="25"/>
      <c r="S143" s="36"/>
      <c r="T143" s="53">
        <f t="shared" si="14"/>
        <v>14891</v>
      </c>
      <c r="U143" s="42"/>
      <c r="V143" s="42"/>
      <c r="W143" s="42"/>
      <c r="X143" s="42"/>
      <c r="Y143" s="42"/>
    </row>
    <row r="144" ht="15.75" customHeight="1" spans="1:25" x14ac:dyDescent="0.25">
      <c r="A144" s="25" t="s">
        <v>505</v>
      </c>
      <c r="B144" s="35">
        <v>438</v>
      </c>
      <c r="C144" s="25" t="s">
        <v>389</v>
      </c>
      <c r="D144" s="25" t="s">
        <v>455</v>
      </c>
      <c r="E144" s="53">
        <v>11300</v>
      </c>
      <c r="F144" s="50"/>
      <c r="G144" s="35">
        <v>113</v>
      </c>
      <c r="H144" s="35">
        <v>100</v>
      </c>
      <c r="I144" s="53">
        <v>11300</v>
      </c>
      <c r="J144" s="66"/>
      <c r="K144" s="66"/>
      <c r="L144" s="66"/>
      <c r="M144" s="66"/>
      <c r="N144" s="66"/>
      <c r="O144" s="66"/>
      <c r="P144" s="66"/>
      <c r="Q144" s="66"/>
      <c r="R144" s="25"/>
      <c r="S144" s="36"/>
      <c r="T144" s="53">
        <f t="shared" si="14"/>
        <v>3591</v>
      </c>
      <c r="U144" s="42"/>
      <c r="V144" s="42"/>
      <c r="W144" s="42"/>
      <c r="X144" s="42"/>
      <c r="Y144" s="42"/>
    </row>
    <row r="145" ht="15.75" customHeight="1" spans="1:25" x14ac:dyDescent="0.25">
      <c r="A145" s="25" t="s">
        <v>506</v>
      </c>
      <c r="B145" s="35">
        <v>439</v>
      </c>
      <c r="C145" s="25" t="s">
        <v>389</v>
      </c>
      <c r="D145" s="25" t="s">
        <v>507</v>
      </c>
      <c r="E145" s="53">
        <v>1300</v>
      </c>
      <c r="F145" s="50"/>
      <c r="G145" s="35">
        <v>13</v>
      </c>
      <c r="H145" s="25">
        <v>100</v>
      </c>
      <c r="I145" s="65">
        <v>1300</v>
      </c>
      <c r="J145" s="66"/>
      <c r="K145" s="66"/>
      <c r="L145" s="66"/>
      <c r="M145" s="67"/>
      <c r="N145" s="66"/>
      <c r="O145" s="66"/>
      <c r="P145" s="66"/>
      <c r="Q145" s="66"/>
      <c r="R145" s="25"/>
      <c r="S145" s="36"/>
      <c r="T145" s="53">
        <f t="shared" si="14"/>
        <v>2291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>
        <v>440</v>
      </c>
      <c r="C146" s="25" t="s">
        <v>389</v>
      </c>
      <c r="D146" s="25" t="s">
        <v>241</v>
      </c>
      <c r="E146" s="53">
        <v>17700</v>
      </c>
      <c r="F146" s="50"/>
      <c r="G146" s="35">
        <v>177</v>
      </c>
      <c r="H146" s="25">
        <v>100</v>
      </c>
      <c r="I146" s="65">
        <v>17700</v>
      </c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14"/>
        <v>-15409</v>
      </c>
      <c r="U146" s="42"/>
      <c r="V146" s="42"/>
      <c r="W146" s="42"/>
      <c r="X146" s="42"/>
      <c r="Y146" s="42"/>
    </row>
    <row r="147" ht="15.75" customHeight="1" spans="1:25" x14ac:dyDescent="0.25">
      <c r="A147" s="25" t="s">
        <v>508</v>
      </c>
      <c r="B147" s="35">
        <v>441</v>
      </c>
      <c r="C147" s="25" t="s">
        <v>389</v>
      </c>
      <c r="D147" s="25" t="s">
        <v>241</v>
      </c>
      <c r="E147" s="53">
        <v>18350</v>
      </c>
      <c r="F147" s="50"/>
      <c r="G147" s="25">
        <v>183.5</v>
      </c>
      <c r="H147" s="25">
        <v>100</v>
      </c>
      <c r="I147" s="65">
        <f>G147*H147</f>
        <v>18350</v>
      </c>
      <c r="J147" s="66"/>
      <c r="K147" s="66"/>
      <c r="L147" s="66"/>
      <c r="M147" s="66"/>
      <c r="N147" s="66"/>
      <c r="O147" s="66"/>
      <c r="P147" s="66"/>
      <c r="Q147" s="67"/>
      <c r="R147" s="25"/>
      <c r="S147" s="36"/>
      <c r="T147" s="53">
        <f t="shared" si="14"/>
        <v>-33759</v>
      </c>
      <c r="U147" s="42"/>
      <c r="V147" s="42"/>
      <c r="W147" s="42"/>
      <c r="X147" s="42"/>
      <c r="Y147" s="42"/>
    </row>
    <row r="148" ht="15.75" customHeight="1" spans="1:25" x14ac:dyDescent="0.25">
      <c r="A148" s="25" t="s">
        <v>509</v>
      </c>
      <c r="B148" s="35"/>
      <c r="C148" s="25" t="s">
        <v>274</v>
      </c>
      <c r="D148" s="25"/>
      <c r="E148" s="53"/>
      <c r="F148" s="68">
        <v>60000</v>
      </c>
      <c r="G148" s="35"/>
      <c r="H148" s="35"/>
      <c r="I148" s="53"/>
      <c r="J148" s="66"/>
      <c r="K148" s="66"/>
      <c r="L148" s="66"/>
      <c r="M148" s="66"/>
      <c r="N148" s="66"/>
      <c r="O148" s="66"/>
      <c r="P148" s="66"/>
      <c r="Q148" s="66"/>
      <c r="R148" s="25"/>
      <c r="S148" s="36"/>
      <c r="T148" s="53">
        <f>T147-E148+60000</f>
        <v>26241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>
        <v>442</v>
      </c>
      <c r="C149" s="25" t="s">
        <v>13</v>
      </c>
      <c r="D149" s="25" t="s">
        <v>104</v>
      </c>
      <c r="E149" s="53">
        <v>2500</v>
      </c>
      <c r="F149" s="50"/>
      <c r="G149" s="35"/>
      <c r="H149" s="35"/>
      <c r="I149" s="53"/>
      <c r="J149" s="66"/>
      <c r="K149" s="66"/>
      <c r="L149" s="66"/>
      <c r="M149" s="66"/>
      <c r="N149" s="66"/>
      <c r="O149" s="66"/>
      <c r="P149" s="66"/>
      <c r="Q149" s="66">
        <v>2500</v>
      </c>
      <c r="R149" s="25"/>
      <c r="S149" s="36"/>
      <c r="T149" s="53">
        <f t="shared" ref="T149:T153" si="16">T148-E149</f>
        <v>23741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>
        <v>443</v>
      </c>
      <c r="C150" s="25" t="s">
        <v>57</v>
      </c>
      <c r="D150" s="25" t="s">
        <v>212</v>
      </c>
      <c r="E150" s="53">
        <v>380</v>
      </c>
      <c r="F150" s="50"/>
      <c r="G150" s="25"/>
      <c r="H150" s="35"/>
      <c r="I150" s="53"/>
      <c r="J150" s="66"/>
      <c r="K150" s="66"/>
      <c r="L150" s="66"/>
      <c r="M150" s="66"/>
      <c r="N150" s="66"/>
      <c r="O150" s="66"/>
      <c r="P150" s="66">
        <v>380</v>
      </c>
      <c r="Q150" s="66"/>
      <c r="R150" s="25"/>
      <c r="S150" s="36"/>
      <c r="T150" s="53">
        <f t="shared" si="16"/>
        <v>23361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>
        <v>444</v>
      </c>
      <c r="C151" s="25" t="s">
        <v>510</v>
      </c>
      <c r="D151" s="25" t="s">
        <v>511</v>
      </c>
      <c r="E151" s="53">
        <v>160</v>
      </c>
      <c r="F151" s="50"/>
      <c r="G151" s="25"/>
      <c r="H151" s="25"/>
      <c r="I151" s="65"/>
      <c r="J151" s="66"/>
      <c r="K151" s="66"/>
      <c r="L151" s="66"/>
      <c r="M151" s="66"/>
      <c r="N151" s="66"/>
      <c r="O151" s="66">
        <v>160</v>
      </c>
      <c r="P151" s="66"/>
      <c r="Q151" s="66"/>
      <c r="R151" s="25"/>
      <c r="S151" s="36"/>
      <c r="T151" s="53">
        <f t="shared" si="16"/>
        <v>23201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>
        <v>445</v>
      </c>
      <c r="C152" s="25" t="s">
        <v>389</v>
      </c>
      <c r="D152" s="25" t="s">
        <v>54</v>
      </c>
      <c r="E152" s="53">
        <v>4200</v>
      </c>
      <c r="F152" s="50"/>
      <c r="G152" s="35">
        <v>42</v>
      </c>
      <c r="H152" s="25">
        <v>100</v>
      </c>
      <c r="I152" s="65">
        <v>4200</v>
      </c>
      <c r="J152" s="66"/>
      <c r="K152" s="66"/>
      <c r="L152" s="66"/>
      <c r="M152" s="66"/>
      <c r="N152" s="66"/>
      <c r="O152" s="66"/>
      <c r="P152" s="67"/>
      <c r="Q152" s="66"/>
      <c r="R152" s="25"/>
      <c r="S152" s="36"/>
      <c r="T152" s="53">
        <f t="shared" si="16"/>
        <v>19001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>
        <v>446</v>
      </c>
      <c r="C153" s="25" t="s">
        <v>389</v>
      </c>
      <c r="D153" s="25" t="s">
        <v>455</v>
      </c>
      <c r="E153" s="53">
        <v>24600</v>
      </c>
      <c r="F153" s="50"/>
      <c r="G153" s="35">
        <v>246</v>
      </c>
      <c r="H153" s="35">
        <v>100</v>
      </c>
      <c r="I153" s="53">
        <v>24600</v>
      </c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16"/>
        <v>-5599</v>
      </c>
      <c r="U153" s="42"/>
      <c r="V153" s="42"/>
      <c r="W153" s="42"/>
      <c r="X153" s="42"/>
      <c r="Y153" s="42"/>
    </row>
    <row r="154" ht="15.75" customHeight="1" spans="1:25" x14ac:dyDescent="0.25">
      <c r="A154" s="25" t="s">
        <v>512</v>
      </c>
      <c r="B154" s="35"/>
      <c r="C154" s="25" t="s">
        <v>274</v>
      </c>
      <c r="D154" s="25"/>
      <c r="E154" s="53"/>
      <c r="F154" s="68">
        <v>60000</v>
      </c>
      <c r="G154" s="2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>T153-E154+60000</f>
        <v>54401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>
        <v>447</v>
      </c>
      <c r="C155" s="25" t="s">
        <v>513</v>
      </c>
      <c r="D155" s="25" t="s">
        <v>28</v>
      </c>
      <c r="E155" s="53">
        <v>500</v>
      </c>
      <c r="F155" s="50"/>
      <c r="G155" s="35"/>
      <c r="H155" s="25"/>
      <c r="I155" s="65"/>
      <c r="J155" s="66"/>
      <c r="K155" s="66"/>
      <c r="L155" s="66">
        <v>500</v>
      </c>
      <c r="M155" s="66"/>
      <c r="N155" s="66"/>
      <c r="O155" s="66"/>
      <c r="P155" s="66"/>
      <c r="Q155" s="66"/>
      <c r="R155" s="25"/>
      <c r="S155" s="36"/>
      <c r="T155" s="53">
        <f t="shared" ref="T155:T180" si="17">T154-E155</f>
        <v>53901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>
        <v>448</v>
      </c>
      <c r="C156" s="25" t="s">
        <v>389</v>
      </c>
      <c r="D156" s="25" t="s">
        <v>54</v>
      </c>
      <c r="E156" s="53">
        <v>3800</v>
      </c>
      <c r="F156" s="50"/>
      <c r="G156" s="35">
        <v>38</v>
      </c>
      <c r="H156" s="25">
        <v>100</v>
      </c>
      <c r="I156" s="65">
        <v>3800</v>
      </c>
      <c r="J156" s="66"/>
      <c r="K156" s="66"/>
      <c r="L156" s="66"/>
      <c r="M156" s="66"/>
      <c r="N156" s="66"/>
      <c r="O156" s="66"/>
      <c r="P156" s="66"/>
      <c r="Q156" s="66"/>
      <c r="R156" s="25"/>
      <c r="S156" s="36"/>
      <c r="T156" s="53">
        <f t="shared" si="17"/>
        <v>50101</v>
      </c>
      <c r="U156" s="42"/>
      <c r="V156" s="42"/>
      <c r="W156" s="42"/>
      <c r="X156" s="42"/>
      <c r="Y156" s="42"/>
    </row>
    <row r="157" ht="15.75" customHeight="1" spans="1:25" x14ac:dyDescent="0.25">
      <c r="A157" s="25" t="s">
        <v>514</v>
      </c>
      <c r="B157" s="35">
        <v>449</v>
      </c>
      <c r="C157" s="25" t="s">
        <v>389</v>
      </c>
      <c r="D157" s="25" t="s">
        <v>432</v>
      </c>
      <c r="E157" s="53">
        <v>1600</v>
      </c>
      <c r="F157" s="50"/>
      <c r="G157" s="35">
        <v>16</v>
      </c>
      <c r="H157" s="25">
        <v>100</v>
      </c>
      <c r="I157" s="65">
        <f t="shared" ref="I157:I160" si="18">G157*H157</f>
        <v>1600</v>
      </c>
      <c r="J157" s="66"/>
      <c r="K157" s="66"/>
      <c r="L157" s="66"/>
      <c r="M157" s="66"/>
      <c r="N157" s="66"/>
      <c r="O157" s="66"/>
      <c r="P157" s="66"/>
      <c r="Q157" s="66"/>
      <c r="R157" s="25"/>
      <c r="S157" s="36"/>
      <c r="T157" s="53">
        <f t="shared" si="17"/>
        <v>48501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>
        <v>450</v>
      </c>
      <c r="C158" s="25" t="s">
        <v>389</v>
      </c>
      <c r="D158" s="25" t="s">
        <v>196</v>
      </c>
      <c r="E158" s="53">
        <v>7600</v>
      </c>
      <c r="F158" s="50"/>
      <c r="G158" s="35">
        <v>76</v>
      </c>
      <c r="H158" s="25">
        <v>100</v>
      </c>
      <c r="I158" s="65">
        <f t="shared" si="18"/>
        <v>7600</v>
      </c>
      <c r="J158" s="66"/>
      <c r="K158" s="66"/>
      <c r="L158" s="66"/>
      <c r="M158" s="66"/>
      <c r="N158" s="66"/>
      <c r="O158" s="66"/>
      <c r="P158" s="66"/>
      <c r="Q158" s="66"/>
      <c r="R158" s="25"/>
      <c r="S158" s="36"/>
      <c r="T158" s="53">
        <f t="shared" si="17"/>
        <v>40901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>
        <v>451</v>
      </c>
      <c r="C159" s="25" t="s">
        <v>389</v>
      </c>
      <c r="D159" s="25" t="s">
        <v>515</v>
      </c>
      <c r="E159" s="53">
        <v>5500</v>
      </c>
      <c r="F159" s="50"/>
      <c r="G159" s="35">
        <v>55</v>
      </c>
      <c r="H159" s="25">
        <v>100</v>
      </c>
      <c r="I159" s="65">
        <f t="shared" si="18"/>
        <v>5500</v>
      </c>
      <c r="J159" s="66"/>
      <c r="K159" s="66"/>
      <c r="L159" s="66"/>
      <c r="M159" s="66"/>
      <c r="N159" s="66"/>
      <c r="O159" s="66"/>
      <c r="P159" s="66"/>
      <c r="Q159" s="66"/>
      <c r="R159" s="25"/>
      <c r="S159" s="36"/>
      <c r="T159" s="53">
        <f t="shared" si="17"/>
        <v>35401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>
        <v>452</v>
      </c>
      <c r="C160" s="25" t="s">
        <v>389</v>
      </c>
      <c r="D160" s="25" t="s">
        <v>395</v>
      </c>
      <c r="E160" s="53">
        <v>800</v>
      </c>
      <c r="F160" s="50"/>
      <c r="G160" s="35">
        <v>8</v>
      </c>
      <c r="H160" s="25">
        <v>100</v>
      </c>
      <c r="I160" s="65">
        <f t="shared" si="18"/>
        <v>800</v>
      </c>
      <c r="J160" s="67"/>
      <c r="K160" s="67"/>
      <c r="L160" s="67"/>
      <c r="M160" s="67"/>
      <c r="N160" s="67"/>
      <c r="O160" s="67"/>
      <c r="P160" s="67"/>
      <c r="Q160" s="67"/>
      <c r="R160" s="53"/>
      <c r="S160" s="36"/>
      <c r="T160" s="53">
        <f t="shared" si="17"/>
        <v>34601</v>
      </c>
      <c r="U160" s="42"/>
      <c r="V160" s="42"/>
      <c r="W160" s="42"/>
      <c r="X160" s="42"/>
      <c r="Y160" s="42"/>
    </row>
    <row r="161" ht="15.75" customHeight="1" spans="1:25" x14ac:dyDescent="0.25">
      <c r="A161" s="25" t="s">
        <v>516</v>
      </c>
      <c r="B161" s="35">
        <v>453</v>
      </c>
      <c r="C161" s="25" t="s">
        <v>517</v>
      </c>
      <c r="D161" s="25" t="s">
        <v>28</v>
      </c>
      <c r="E161" s="53">
        <v>1725</v>
      </c>
      <c r="F161" s="50"/>
      <c r="G161" s="25"/>
      <c r="H161" s="26"/>
      <c r="I161" s="70"/>
      <c r="J161" s="71"/>
      <c r="K161" s="71"/>
      <c r="L161" s="71">
        <v>1725</v>
      </c>
      <c r="M161" s="71"/>
      <c r="N161" s="71"/>
      <c r="O161" s="71"/>
      <c r="P161" s="71"/>
      <c r="Q161" s="71"/>
      <c r="R161" s="26"/>
      <c r="S161" s="37"/>
      <c r="T161" s="56">
        <f t="shared" si="17"/>
        <v>32876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>
        <v>454</v>
      </c>
      <c r="C162" s="25" t="s">
        <v>389</v>
      </c>
      <c r="D162" s="25" t="s">
        <v>196</v>
      </c>
      <c r="E162" s="53">
        <v>4600</v>
      </c>
      <c r="F162" s="50"/>
      <c r="G162" s="35">
        <v>46</v>
      </c>
      <c r="H162" s="26">
        <v>100</v>
      </c>
      <c r="I162" s="70">
        <v>4600</v>
      </c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17"/>
        <v>28276</v>
      </c>
      <c r="U162" s="42"/>
      <c r="V162" s="42"/>
      <c r="W162" s="42"/>
      <c r="X162" s="42"/>
      <c r="Y162" s="42"/>
    </row>
    <row r="163" ht="15.75" customHeight="1" spans="1:25" x14ac:dyDescent="0.25">
      <c r="A163" s="25" t="s">
        <v>518</v>
      </c>
      <c r="B163" s="35">
        <v>455</v>
      </c>
      <c r="C163" s="25" t="s">
        <v>431</v>
      </c>
      <c r="D163" s="25" t="s">
        <v>91</v>
      </c>
      <c r="E163" s="53">
        <v>2500</v>
      </c>
      <c r="F163" s="50"/>
      <c r="G163" s="35">
        <v>25</v>
      </c>
      <c r="H163" s="26">
        <v>100</v>
      </c>
      <c r="I163" s="70">
        <v>2500</v>
      </c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17"/>
        <v>25776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 t="s">
        <v>389</v>
      </c>
      <c r="D164" s="25" t="s">
        <v>519</v>
      </c>
      <c r="E164" s="53">
        <v>8100</v>
      </c>
      <c r="F164" s="50"/>
      <c r="G164" s="35">
        <v>81</v>
      </c>
      <c r="H164" s="26">
        <v>100</v>
      </c>
      <c r="I164" s="70">
        <v>8100</v>
      </c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17"/>
        <v>17676</v>
      </c>
      <c r="U164" s="42"/>
      <c r="V164" s="42"/>
      <c r="W164" s="42"/>
      <c r="X164" s="42"/>
      <c r="Y164" s="42"/>
    </row>
    <row r="165" ht="15.75" customHeight="1" spans="1:25" x14ac:dyDescent="0.25">
      <c r="A165" s="25" t="s">
        <v>520</v>
      </c>
      <c r="B165" s="35">
        <v>457</v>
      </c>
      <c r="C165" s="23" t="s">
        <v>521</v>
      </c>
      <c r="D165" s="25" t="s">
        <v>522</v>
      </c>
      <c r="E165" s="53">
        <v>450</v>
      </c>
      <c r="F165" s="50"/>
      <c r="G165" s="25"/>
      <c r="H165" s="26"/>
      <c r="I165" s="70"/>
      <c r="J165" s="71"/>
      <c r="K165" s="71"/>
      <c r="L165" s="71"/>
      <c r="M165" s="71"/>
      <c r="N165" s="71"/>
      <c r="O165" s="71"/>
      <c r="P165" s="71"/>
      <c r="Q165" s="71"/>
      <c r="R165" s="26">
        <v>450</v>
      </c>
      <c r="S165" s="37"/>
      <c r="T165" s="56">
        <f t="shared" si="17"/>
        <v>17226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>
        <v>458</v>
      </c>
      <c r="C166" s="23" t="s">
        <v>98</v>
      </c>
      <c r="D166" s="25" t="s">
        <v>119</v>
      </c>
      <c r="E166" s="53">
        <v>300</v>
      </c>
      <c r="F166" s="50"/>
      <c r="G166" s="25"/>
      <c r="H166" s="26"/>
      <c r="I166" s="70"/>
      <c r="J166" s="71"/>
      <c r="K166" s="71"/>
      <c r="L166" s="71"/>
      <c r="M166" s="71">
        <v>300</v>
      </c>
      <c r="N166" s="71"/>
      <c r="O166" s="71"/>
      <c r="P166" s="71"/>
      <c r="Q166" s="71"/>
      <c r="R166" s="26"/>
      <c r="S166" s="37"/>
      <c r="T166" s="56">
        <f t="shared" si="17"/>
        <v>16926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>
        <v>459</v>
      </c>
      <c r="C167" s="25" t="s">
        <v>389</v>
      </c>
      <c r="D167" s="23" t="s">
        <v>52</v>
      </c>
      <c r="E167" s="54">
        <v>5100</v>
      </c>
      <c r="F167" s="50"/>
      <c r="G167" s="35">
        <v>51</v>
      </c>
      <c r="H167" s="26">
        <v>100</v>
      </c>
      <c r="I167" s="70">
        <v>5100</v>
      </c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17"/>
        <v>11826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>
        <v>460</v>
      </c>
      <c r="C168" s="25" t="s">
        <v>431</v>
      </c>
      <c r="D168" s="23" t="s">
        <v>455</v>
      </c>
      <c r="E168" s="54">
        <v>3500</v>
      </c>
      <c r="F168" s="50"/>
      <c r="G168" s="35">
        <v>35</v>
      </c>
      <c r="H168" s="26">
        <v>100</v>
      </c>
      <c r="I168" s="70">
        <v>3500</v>
      </c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17"/>
        <v>8326</v>
      </c>
      <c r="U168" s="42"/>
      <c r="V168" s="42"/>
      <c r="W168" s="42"/>
      <c r="X168" s="42"/>
      <c r="Y168" s="42"/>
    </row>
    <row r="169" ht="15.75" customHeight="1" spans="1:25" x14ac:dyDescent="0.25">
      <c r="A169" s="40" t="s">
        <v>523</v>
      </c>
      <c r="B169" s="35">
        <v>461</v>
      </c>
      <c r="C169" s="72" t="s">
        <v>524</v>
      </c>
      <c r="D169" s="40" t="s">
        <v>525</v>
      </c>
      <c r="E169" s="53">
        <v>350</v>
      </c>
      <c r="F169" s="50"/>
      <c r="G169" s="25"/>
      <c r="H169" s="25"/>
      <c r="I169" s="53"/>
      <c r="J169" s="71"/>
      <c r="K169" s="71"/>
      <c r="L169" s="71"/>
      <c r="M169" s="71"/>
      <c r="N169" s="71"/>
      <c r="O169" s="71"/>
      <c r="P169" s="71">
        <v>350</v>
      </c>
      <c r="Q169" s="71"/>
      <c r="R169" s="26"/>
      <c r="S169" s="37"/>
      <c r="T169" s="56">
        <f t="shared" si="17"/>
        <v>7976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>
        <v>462</v>
      </c>
      <c r="C170" s="72" t="s">
        <v>526</v>
      </c>
      <c r="D170" s="40" t="s">
        <v>525</v>
      </c>
      <c r="E170" s="53">
        <v>400</v>
      </c>
      <c r="F170" s="50"/>
      <c r="G170" s="25"/>
      <c r="H170" s="25"/>
      <c r="I170" s="53"/>
      <c r="J170" s="71"/>
      <c r="K170" s="71"/>
      <c r="L170" s="71"/>
      <c r="M170" s="71"/>
      <c r="N170" s="71"/>
      <c r="O170" s="71"/>
      <c r="P170" s="71">
        <v>400</v>
      </c>
      <c r="Q170" s="71"/>
      <c r="R170" s="26"/>
      <c r="S170" s="37"/>
      <c r="T170" s="56">
        <f t="shared" si="17"/>
        <v>7576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>
        <v>463</v>
      </c>
      <c r="C171" s="73" t="s">
        <v>426</v>
      </c>
      <c r="D171" s="72" t="s">
        <v>527</v>
      </c>
      <c r="E171" s="54">
        <v>1250</v>
      </c>
      <c r="F171" s="50"/>
      <c r="G171" s="35">
        <v>25</v>
      </c>
      <c r="H171" s="35">
        <v>50</v>
      </c>
      <c r="I171" s="53">
        <v>1250</v>
      </c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17"/>
        <v>6326</v>
      </c>
      <c r="U171" s="42"/>
      <c r="V171" s="42"/>
      <c r="W171" s="42"/>
      <c r="X171" s="42"/>
      <c r="Y171" s="42"/>
    </row>
    <row r="172" ht="15.75" customHeight="1" spans="1:25" x14ac:dyDescent="0.25">
      <c r="A172" s="25"/>
      <c r="B172" s="35">
        <v>464</v>
      </c>
      <c r="C172" s="72" t="s">
        <v>389</v>
      </c>
      <c r="D172" s="72" t="s">
        <v>54</v>
      </c>
      <c r="E172" s="54">
        <v>6600</v>
      </c>
      <c r="F172" s="50"/>
      <c r="G172" s="35">
        <v>66</v>
      </c>
      <c r="H172" s="35">
        <v>100</v>
      </c>
      <c r="I172" s="53">
        <v>6600</v>
      </c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17"/>
        <v>-274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>
        <v>465</v>
      </c>
      <c r="C173" s="72" t="s">
        <v>425</v>
      </c>
      <c r="D173" s="40" t="s">
        <v>54</v>
      </c>
      <c r="E173" s="53">
        <v>1440</v>
      </c>
      <c r="F173" s="50"/>
      <c r="G173" s="35">
        <v>12</v>
      </c>
      <c r="H173" s="35">
        <v>120</v>
      </c>
      <c r="I173" s="53">
        <v>1440</v>
      </c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17"/>
        <v>-1714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>
        <v>466</v>
      </c>
      <c r="C174" s="72" t="s">
        <v>528</v>
      </c>
      <c r="D174" s="40" t="s">
        <v>54</v>
      </c>
      <c r="E174" s="53">
        <v>1560</v>
      </c>
      <c r="F174" s="50"/>
      <c r="G174" s="35">
        <v>13</v>
      </c>
      <c r="H174" s="35">
        <v>120</v>
      </c>
      <c r="I174" s="53">
        <v>1560</v>
      </c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17"/>
        <v>-3274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>
        <v>467</v>
      </c>
      <c r="C175" s="40" t="s">
        <v>389</v>
      </c>
      <c r="D175" s="72" t="s">
        <v>241</v>
      </c>
      <c r="E175" s="53">
        <v>14800</v>
      </c>
      <c r="F175" s="50"/>
      <c r="G175" s="35">
        <v>148</v>
      </c>
      <c r="H175" s="35">
        <v>100</v>
      </c>
      <c r="I175" s="53">
        <v>14800</v>
      </c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17"/>
        <v>-18074</v>
      </c>
      <c r="U175" s="42"/>
      <c r="V175" s="42"/>
      <c r="W175" s="42"/>
      <c r="X175" s="42"/>
      <c r="Y175" s="42"/>
    </row>
    <row r="176" ht="15.75" customHeight="1" spans="1:25" x14ac:dyDescent="0.25">
      <c r="A176" s="40" t="s">
        <v>529</v>
      </c>
      <c r="B176" s="35">
        <v>468</v>
      </c>
      <c r="C176" s="40" t="s">
        <v>389</v>
      </c>
      <c r="D176" s="40" t="s">
        <v>530</v>
      </c>
      <c r="E176" s="53">
        <v>4900</v>
      </c>
      <c r="F176" s="50"/>
      <c r="G176" s="35">
        <v>49</v>
      </c>
      <c r="H176" s="35">
        <v>100</v>
      </c>
      <c r="I176" s="53">
        <v>4900</v>
      </c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17"/>
        <v>-22974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>
        <v>469</v>
      </c>
      <c r="C177" s="40" t="s">
        <v>389</v>
      </c>
      <c r="D177" s="72" t="s">
        <v>241</v>
      </c>
      <c r="E177" s="54">
        <v>16200</v>
      </c>
      <c r="F177" s="50"/>
      <c r="G177" s="35">
        <v>162</v>
      </c>
      <c r="H177" s="35">
        <v>100</v>
      </c>
      <c r="I177" s="53">
        <v>16200</v>
      </c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 t="shared" si="17"/>
        <v>-39174</v>
      </c>
      <c r="U177" s="42"/>
      <c r="V177" s="42"/>
      <c r="W177" s="42"/>
      <c r="X177" s="42"/>
      <c r="Y177" s="42"/>
    </row>
    <row r="178" ht="15.75" customHeight="1" spans="1:25" x14ac:dyDescent="0.25">
      <c r="A178" s="25" t="s">
        <v>531</v>
      </c>
      <c r="B178" s="35">
        <v>470</v>
      </c>
      <c r="C178" s="23" t="s">
        <v>532</v>
      </c>
      <c r="D178" s="23" t="s">
        <v>533</v>
      </c>
      <c r="E178" s="54">
        <v>500</v>
      </c>
      <c r="F178" s="50"/>
      <c r="G178" s="26"/>
      <c r="H178" s="26"/>
      <c r="I178" s="70"/>
      <c r="J178" s="71"/>
      <c r="K178" s="71">
        <v>500</v>
      </c>
      <c r="L178" s="71"/>
      <c r="M178" s="71"/>
      <c r="N178" s="71"/>
      <c r="O178" s="71"/>
      <c r="P178" s="71"/>
      <c r="Q178" s="71"/>
      <c r="R178" s="26"/>
      <c r="S178" s="37"/>
      <c r="T178" s="56">
        <f t="shared" si="17"/>
        <v>-39674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>
        <v>471</v>
      </c>
      <c r="C179" s="23" t="s">
        <v>534</v>
      </c>
      <c r="D179" s="25" t="s">
        <v>535</v>
      </c>
      <c r="E179" s="53">
        <v>3740</v>
      </c>
      <c r="F179" s="50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>
        <v>3740</v>
      </c>
      <c r="S179" s="37"/>
      <c r="T179" s="56">
        <f t="shared" si="17"/>
        <v>-43414</v>
      </c>
      <c r="U179" s="42"/>
      <c r="V179" s="42"/>
      <c r="W179" s="42"/>
      <c r="X179" s="42"/>
      <c r="Y179" s="42"/>
    </row>
    <row r="180" ht="15.75" customHeight="1" spans="1:25" x14ac:dyDescent="0.25">
      <c r="A180" s="25"/>
      <c r="B180" s="35">
        <v>472</v>
      </c>
      <c r="C180" s="23" t="s">
        <v>98</v>
      </c>
      <c r="D180" s="25" t="s">
        <v>119</v>
      </c>
      <c r="E180" s="53">
        <v>600</v>
      </c>
      <c r="F180" s="50"/>
      <c r="G180" s="26"/>
      <c r="H180" s="26"/>
      <c r="I180" s="70"/>
      <c r="J180" s="71"/>
      <c r="K180" s="71"/>
      <c r="L180" s="71"/>
      <c r="M180" s="71">
        <v>600</v>
      </c>
      <c r="N180" s="71"/>
      <c r="O180" s="71"/>
      <c r="P180" s="71"/>
      <c r="Q180" s="71"/>
      <c r="R180" s="26"/>
      <c r="S180" s="37"/>
      <c r="T180" s="56">
        <f t="shared" si="17"/>
        <v>-44014</v>
      </c>
      <c r="U180" s="42"/>
      <c r="V180" s="42"/>
      <c r="W180" s="42"/>
      <c r="X180" s="42"/>
      <c r="Y180" s="42"/>
    </row>
    <row r="181" ht="15.75" customHeight="1" spans="1:25" x14ac:dyDescent="0.25">
      <c r="A181" s="25"/>
      <c r="B181" s="35"/>
      <c r="C181" s="23" t="s">
        <v>536</v>
      </c>
      <c r="D181" s="25"/>
      <c r="E181" s="53"/>
      <c r="F181" s="68">
        <v>16000</v>
      </c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>T180-E181+16000</f>
        <v>-28014</v>
      </c>
      <c r="U181" s="42"/>
      <c r="V181" s="42"/>
      <c r="W181" s="42"/>
      <c r="X181" s="42"/>
      <c r="Y181" s="42"/>
    </row>
    <row r="182" ht="15.75" customHeight="1" spans="1:25" x14ac:dyDescent="0.25">
      <c r="A182" s="25" t="s">
        <v>537</v>
      </c>
      <c r="B182" s="35">
        <v>473</v>
      </c>
      <c r="C182" s="25" t="s">
        <v>538</v>
      </c>
      <c r="D182" s="25" t="s">
        <v>525</v>
      </c>
      <c r="E182" s="53">
        <v>920</v>
      </c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>
        <v>920</v>
      </c>
      <c r="Q182" s="71"/>
      <c r="R182" s="26"/>
      <c r="S182" s="37"/>
      <c r="T182" s="56">
        <f t="shared" ref="T182:T183" si="19">T181-E182</f>
        <v>-28934</v>
      </c>
      <c r="U182" s="42"/>
      <c r="V182" s="42"/>
      <c r="W182" s="42"/>
      <c r="X182" s="42"/>
      <c r="Y182" s="42"/>
    </row>
    <row r="183" ht="15.75" customHeight="1" spans="1:25" x14ac:dyDescent="0.25">
      <c r="A183" s="25"/>
      <c r="B183" s="35">
        <v>474</v>
      </c>
      <c r="C183" s="25" t="s">
        <v>539</v>
      </c>
      <c r="D183" s="25" t="s">
        <v>540</v>
      </c>
      <c r="E183" s="53">
        <v>18000</v>
      </c>
      <c r="F183" s="57"/>
      <c r="G183" s="26"/>
      <c r="H183" s="26"/>
      <c r="I183" s="70"/>
      <c r="J183" s="71"/>
      <c r="K183" s="71">
        <v>18000</v>
      </c>
      <c r="L183" s="71"/>
      <c r="M183" s="71"/>
      <c r="N183" s="71"/>
      <c r="O183" s="71"/>
      <c r="P183" s="71"/>
      <c r="Q183" s="71"/>
      <c r="R183" s="26"/>
      <c r="S183" s="37"/>
      <c r="T183" s="56">
        <f t="shared" si="19"/>
        <v>-46934</v>
      </c>
      <c r="U183" s="42"/>
      <c r="V183" s="42"/>
      <c r="W183" s="42"/>
      <c r="X183" s="42"/>
      <c r="Y183" s="42"/>
    </row>
    <row r="184" ht="15.75" customHeight="1" spans="1:25" x14ac:dyDescent="0.25">
      <c r="A184" s="40" t="s">
        <v>541</v>
      </c>
      <c r="B184" s="25"/>
      <c r="C184" s="40" t="s">
        <v>542</v>
      </c>
      <c r="D184" s="25"/>
      <c r="E184" s="53"/>
      <c r="F184" s="68">
        <v>120000</v>
      </c>
      <c r="G184" s="35"/>
      <c r="H184" s="35"/>
      <c r="I184" s="53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>T183-E184+120000</f>
        <v>73066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>
        <v>475</v>
      </c>
      <c r="C185" s="38" t="s">
        <v>543</v>
      </c>
      <c r="D185" s="38" t="s">
        <v>336</v>
      </c>
      <c r="E185" s="56">
        <v>2500</v>
      </c>
      <c r="F185" s="57"/>
      <c r="G185" s="26"/>
      <c r="H185" s="26"/>
      <c r="I185" s="70"/>
      <c r="J185" s="71"/>
      <c r="K185" s="71"/>
      <c r="L185" s="71"/>
      <c r="M185" s="71"/>
      <c r="N185" s="71"/>
      <c r="O185" s="71"/>
      <c r="P185" s="71"/>
      <c r="Q185" s="71"/>
      <c r="R185" s="26">
        <v>2500</v>
      </c>
      <c r="S185" s="37"/>
      <c r="T185" s="56">
        <f t="shared" ref="T185:T217" si="20">T184-E185</f>
        <v>70566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>
        <v>476</v>
      </c>
      <c r="C186" s="38" t="s">
        <v>544</v>
      </c>
      <c r="D186" s="38" t="s">
        <v>338</v>
      </c>
      <c r="E186" s="56">
        <v>4495</v>
      </c>
      <c r="F186" s="57"/>
      <c r="G186" s="26"/>
      <c r="H186" s="26"/>
      <c r="I186" s="70">
        <v>4495</v>
      </c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20"/>
        <v>66071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>
        <v>477</v>
      </c>
      <c r="C187" s="38" t="s">
        <v>545</v>
      </c>
      <c r="D187" s="38" t="s">
        <v>511</v>
      </c>
      <c r="E187" s="56">
        <v>370</v>
      </c>
      <c r="F187" s="57"/>
      <c r="G187" s="26"/>
      <c r="H187" s="26"/>
      <c r="I187" s="56"/>
      <c r="J187" s="71"/>
      <c r="K187" s="71"/>
      <c r="L187" s="71"/>
      <c r="M187" s="71"/>
      <c r="N187" s="71"/>
      <c r="O187" s="71">
        <v>370</v>
      </c>
      <c r="P187" s="71"/>
      <c r="Q187" s="71"/>
      <c r="R187" s="26"/>
      <c r="S187" s="37"/>
      <c r="T187" s="56">
        <f t="shared" si="20"/>
        <v>65701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>
        <v>478</v>
      </c>
      <c r="C188" s="38" t="s">
        <v>98</v>
      </c>
      <c r="D188" s="38" t="s">
        <v>119</v>
      </c>
      <c r="E188" s="56">
        <v>500</v>
      </c>
      <c r="F188" s="57"/>
      <c r="G188" s="26"/>
      <c r="H188" s="26"/>
      <c r="I188" s="70"/>
      <c r="J188" s="71"/>
      <c r="K188" s="71"/>
      <c r="L188" s="71"/>
      <c r="M188" s="71">
        <v>500</v>
      </c>
      <c r="N188" s="71"/>
      <c r="O188" s="71"/>
      <c r="P188" s="71"/>
      <c r="Q188" s="71"/>
      <c r="R188" s="26"/>
      <c r="S188" s="37"/>
      <c r="T188" s="56">
        <f t="shared" si="20"/>
        <v>65201</v>
      </c>
      <c r="U188" s="42"/>
      <c r="V188" s="42"/>
      <c r="W188" s="42"/>
      <c r="X188" s="42"/>
      <c r="Y188" s="42"/>
    </row>
    <row r="189" ht="15.75" customHeight="1" spans="1:25" x14ac:dyDescent="0.25">
      <c r="A189" s="26"/>
      <c r="B189" s="29">
        <v>479</v>
      </c>
      <c r="C189" s="38" t="s">
        <v>546</v>
      </c>
      <c r="D189" s="38" t="s">
        <v>547</v>
      </c>
      <c r="E189" s="56">
        <v>8700</v>
      </c>
      <c r="F189" s="57"/>
      <c r="G189" s="26"/>
      <c r="H189" s="26"/>
      <c r="I189" s="56">
        <v>8700</v>
      </c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20"/>
        <v>56501</v>
      </c>
      <c r="U189" s="42"/>
      <c r="V189" s="42"/>
      <c r="W189" s="42"/>
      <c r="X189" s="42"/>
      <c r="Y189" s="42"/>
    </row>
    <row r="190" ht="15.75" customHeight="1" spans="1:25" x14ac:dyDescent="0.25">
      <c r="A190" s="26"/>
      <c r="B190" s="29">
        <v>480</v>
      </c>
      <c r="C190" s="38" t="s">
        <v>13</v>
      </c>
      <c r="D190" s="38" t="s">
        <v>104</v>
      </c>
      <c r="E190" s="56">
        <v>2500</v>
      </c>
      <c r="F190" s="57"/>
      <c r="G190" s="26"/>
      <c r="H190" s="26"/>
      <c r="I190" s="70"/>
      <c r="J190" s="71"/>
      <c r="K190" s="71"/>
      <c r="L190" s="71"/>
      <c r="M190" s="71"/>
      <c r="N190" s="71"/>
      <c r="O190" s="71"/>
      <c r="P190" s="71"/>
      <c r="Q190" s="71">
        <v>2500</v>
      </c>
      <c r="R190" s="26"/>
      <c r="S190" s="37"/>
      <c r="T190" s="56">
        <f t="shared" si="20"/>
        <v>54001</v>
      </c>
      <c r="U190" s="42"/>
      <c r="V190" s="42"/>
      <c r="W190" s="42"/>
      <c r="X190" s="42"/>
      <c r="Y190" s="42"/>
    </row>
    <row r="191" ht="15.75" customHeight="1" spans="1:25" x14ac:dyDescent="0.25">
      <c r="A191" s="26"/>
      <c r="B191" s="29">
        <v>481</v>
      </c>
      <c r="C191" s="38" t="s">
        <v>57</v>
      </c>
      <c r="D191" s="38" t="s">
        <v>244</v>
      </c>
      <c r="E191" s="56">
        <v>380</v>
      </c>
      <c r="F191" s="57"/>
      <c r="G191" s="26"/>
      <c r="H191" s="26"/>
      <c r="I191" s="70"/>
      <c r="J191" s="71"/>
      <c r="K191" s="71"/>
      <c r="L191" s="71"/>
      <c r="M191" s="71"/>
      <c r="N191" s="71"/>
      <c r="O191" s="71"/>
      <c r="P191" s="71">
        <v>380</v>
      </c>
      <c r="Q191" s="71"/>
      <c r="R191" s="26"/>
      <c r="S191" s="37"/>
      <c r="T191" s="56">
        <f t="shared" si="20"/>
        <v>53621</v>
      </c>
      <c r="U191" s="42"/>
      <c r="V191" s="42"/>
      <c r="W191" s="42"/>
      <c r="X191" s="42"/>
      <c r="Y191" s="42"/>
    </row>
    <row r="192" ht="15.75" customHeight="1" spans="1:25" x14ac:dyDescent="0.25">
      <c r="A192" s="26"/>
      <c r="B192" s="29">
        <v>482</v>
      </c>
      <c r="C192" s="38" t="s">
        <v>389</v>
      </c>
      <c r="D192" s="38" t="s">
        <v>548</v>
      </c>
      <c r="E192" s="56">
        <v>1500</v>
      </c>
      <c r="F192" s="57"/>
      <c r="G192" s="29">
        <v>15</v>
      </c>
      <c r="H192" s="29">
        <v>100</v>
      </c>
      <c r="I192" s="56">
        <v>1500</v>
      </c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20"/>
        <v>52121</v>
      </c>
      <c r="U192" s="42"/>
      <c r="V192" s="42"/>
      <c r="W192" s="42"/>
      <c r="X192" s="42"/>
      <c r="Y192" s="42"/>
    </row>
    <row r="193" ht="15.75" customHeight="1" spans="1:25" x14ac:dyDescent="0.25">
      <c r="A193" s="40" t="s">
        <v>549</v>
      </c>
      <c r="B193" s="35">
        <v>483</v>
      </c>
      <c r="C193" s="40" t="s">
        <v>550</v>
      </c>
      <c r="D193" s="40" t="s">
        <v>551</v>
      </c>
      <c r="E193" s="53">
        <v>1200</v>
      </c>
      <c r="F193" s="50"/>
      <c r="G193" s="25"/>
      <c r="H193" s="25"/>
      <c r="I193" s="65"/>
      <c r="J193" s="71"/>
      <c r="K193" s="71"/>
      <c r="L193" s="71"/>
      <c r="M193" s="71"/>
      <c r="N193" s="71"/>
      <c r="O193" s="71"/>
      <c r="P193" s="71"/>
      <c r="Q193" s="71"/>
      <c r="R193" s="26">
        <v>1200</v>
      </c>
      <c r="S193" s="37"/>
      <c r="T193" s="56">
        <f t="shared" si="20"/>
        <v>50921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>
        <v>484</v>
      </c>
      <c r="C194" s="40" t="s">
        <v>552</v>
      </c>
      <c r="D194" s="40" t="s">
        <v>553</v>
      </c>
      <c r="E194" s="53">
        <v>2000</v>
      </c>
      <c r="F194" s="50"/>
      <c r="G194" s="35">
        <v>1</v>
      </c>
      <c r="H194" s="53">
        <v>2000</v>
      </c>
      <c r="I194" s="53">
        <v>2000</v>
      </c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20"/>
        <v>48921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>
        <v>485</v>
      </c>
      <c r="C195" s="40" t="s">
        <v>389</v>
      </c>
      <c r="D195" s="40" t="s">
        <v>196</v>
      </c>
      <c r="E195" s="53">
        <v>2500</v>
      </c>
      <c r="F195" s="50"/>
      <c r="G195" s="35">
        <v>25</v>
      </c>
      <c r="H195" s="35">
        <v>100</v>
      </c>
      <c r="I195" s="53">
        <v>2500</v>
      </c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20"/>
        <v>46421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>
        <v>486</v>
      </c>
      <c r="C196" s="40" t="s">
        <v>389</v>
      </c>
      <c r="D196" s="40" t="s">
        <v>54</v>
      </c>
      <c r="E196" s="53">
        <v>4600</v>
      </c>
      <c r="F196" s="50"/>
      <c r="G196" s="35">
        <v>46</v>
      </c>
      <c r="H196" s="35">
        <v>100</v>
      </c>
      <c r="I196" s="53">
        <v>4600</v>
      </c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20"/>
        <v>41821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>
        <v>487</v>
      </c>
      <c r="C197" s="40" t="s">
        <v>554</v>
      </c>
      <c r="D197" s="40" t="s">
        <v>54</v>
      </c>
      <c r="E197" s="53">
        <v>4650</v>
      </c>
      <c r="F197" s="50"/>
      <c r="G197" s="35">
        <v>31</v>
      </c>
      <c r="H197" s="35">
        <v>150</v>
      </c>
      <c r="I197" s="53">
        <v>4650</v>
      </c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20"/>
        <v>37171</v>
      </c>
      <c r="U197" s="42"/>
      <c r="V197" s="42"/>
      <c r="W197" s="42"/>
      <c r="X197" s="42"/>
      <c r="Y197" s="42"/>
    </row>
    <row r="198" ht="15.75" customHeight="1" spans="1:25" x14ac:dyDescent="0.25">
      <c r="A198" s="25" t="s">
        <v>555</v>
      </c>
      <c r="B198" s="35">
        <v>488</v>
      </c>
      <c r="C198" s="25" t="s">
        <v>543</v>
      </c>
      <c r="D198" s="25" t="s">
        <v>336</v>
      </c>
      <c r="E198" s="53">
        <v>600</v>
      </c>
      <c r="F198" s="50"/>
      <c r="G198" s="2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>
        <v>600</v>
      </c>
      <c r="S198" s="37"/>
      <c r="T198" s="56">
        <f t="shared" si="20"/>
        <v>36571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>
        <v>489</v>
      </c>
      <c r="C199" s="25" t="s">
        <v>556</v>
      </c>
      <c r="D199" s="25" t="s">
        <v>511</v>
      </c>
      <c r="E199" s="53">
        <v>500</v>
      </c>
      <c r="F199" s="50"/>
      <c r="G199" s="25"/>
      <c r="H199" s="26"/>
      <c r="I199" s="70"/>
      <c r="J199" s="71"/>
      <c r="K199" s="71"/>
      <c r="L199" s="71"/>
      <c r="M199" s="71"/>
      <c r="N199" s="71"/>
      <c r="O199" s="71">
        <v>500</v>
      </c>
      <c r="P199" s="71"/>
      <c r="Q199" s="71"/>
      <c r="R199" s="26"/>
      <c r="S199" s="37"/>
      <c r="T199" s="56">
        <f t="shared" si="20"/>
        <v>36071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>
        <v>490</v>
      </c>
      <c r="C200" s="25" t="s">
        <v>203</v>
      </c>
      <c r="D200" s="25" t="s">
        <v>557</v>
      </c>
      <c r="E200" s="53">
        <v>300</v>
      </c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>
        <v>300</v>
      </c>
      <c r="S200" s="37"/>
      <c r="T200" s="56">
        <f t="shared" si="20"/>
        <v>35771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>
        <v>491</v>
      </c>
      <c r="C201" s="25" t="s">
        <v>558</v>
      </c>
      <c r="D201" s="25" t="s">
        <v>28</v>
      </c>
      <c r="E201" s="53">
        <v>320</v>
      </c>
      <c r="F201" s="50"/>
      <c r="G201" s="35"/>
      <c r="H201" s="26"/>
      <c r="I201" s="70"/>
      <c r="J201" s="71"/>
      <c r="K201" s="71"/>
      <c r="L201" s="71">
        <v>320</v>
      </c>
      <c r="M201" s="71"/>
      <c r="N201" s="71"/>
      <c r="O201" s="71"/>
      <c r="P201" s="71"/>
      <c r="Q201" s="71"/>
      <c r="R201" s="26"/>
      <c r="S201" s="37"/>
      <c r="T201" s="56">
        <f t="shared" si="20"/>
        <v>35451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>
        <v>492</v>
      </c>
      <c r="C202" s="25" t="s">
        <v>389</v>
      </c>
      <c r="D202" s="25" t="s">
        <v>311</v>
      </c>
      <c r="E202" s="53">
        <v>1200</v>
      </c>
      <c r="F202" s="50"/>
      <c r="G202" s="35">
        <v>12</v>
      </c>
      <c r="H202" s="26">
        <v>100</v>
      </c>
      <c r="I202" s="70">
        <f t="shared" ref="I202:I204" si="21">G202*H202</f>
        <v>1200</v>
      </c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20"/>
        <v>34251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>
        <v>493</v>
      </c>
      <c r="C203" s="25" t="s">
        <v>389</v>
      </c>
      <c r="D203" s="25" t="s">
        <v>455</v>
      </c>
      <c r="E203" s="53">
        <v>6200</v>
      </c>
      <c r="F203" s="50"/>
      <c r="G203" s="35">
        <v>62</v>
      </c>
      <c r="H203" s="26">
        <v>100</v>
      </c>
      <c r="I203" s="70">
        <f t="shared" si="21"/>
        <v>6200</v>
      </c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20"/>
        <v>28051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>
        <v>494</v>
      </c>
      <c r="C204" s="25" t="s">
        <v>559</v>
      </c>
      <c r="D204" s="25" t="s">
        <v>455</v>
      </c>
      <c r="E204" s="53">
        <v>800</v>
      </c>
      <c r="F204" s="50"/>
      <c r="G204" s="35">
        <v>8</v>
      </c>
      <c r="H204" s="26">
        <v>100</v>
      </c>
      <c r="I204" s="70">
        <f t="shared" si="21"/>
        <v>800</v>
      </c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20"/>
        <v>27251</v>
      </c>
      <c r="U204" s="42"/>
      <c r="V204" s="42"/>
      <c r="W204" s="42"/>
      <c r="X204" s="42"/>
      <c r="Y204" s="42"/>
    </row>
    <row r="205" ht="15.75" customHeight="1" spans="1:25" x14ac:dyDescent="0.25">
      <c r="A205" s="25"/>
      <c r="B205" s="35">
        <v>495</v>
      </c>
      <c r="C205" s="25" t="s">
        <v>560</v>
      </c>
      <c r="D205" s="25" t="s">
        <v>511</v>
      </c>
      <c r="E205" s="53">
        <v>225</v>
      </c>
      <c r="F205" s="50"/>
      <c r="G205" s="25"/>
      <c r="H205" s="26"/>
      <c r="I205" s="70"/>
      <c r="J205" s="71"/>
      <c r="K205" s="71"/>
      <c r="L205" s="71"/>
      <c r="M205" s="71"/>
      <c r="N205" s="71"/>
      <c r="O205" s="71">
        <v>225</v>
      </c>
      <c r="P205" s="71"/>
      <c r="Q205" s="71"/>
      <c r="R205" s="26"/>
      <c r="S205" s="37"/>
      <c r="T205" s="56">
        <f t="shared" si="20"/>
        <v>27026</v>
      </c>
      <c r="U205" s="42"/>
      <c r="V205" s="42"/>
      <c r="W205" s="42"/>
      <c r="X205" s="42"/>
      <c r="Y205" s="42"/>
    </row>
    <row r="206" ht="15.75" customHeight="1" spans="1:25" x14ac:dyDescent="0.25">
      <c r="A206" s="25" t="s">
        <v>561</v>
      </c>
      <c r="B206" s="35">
        <v>496</v>
      </c>
      <c r="C206" s="25" t="s">
        <v>562</v>
      </c>
      <c r="D206" s="25" t="s">
        <v>498</v>
      </c>
      <c r="E206" s="53">
        <v>1000</v>
      </c>
      <c r="F206" s="50"/>
      <c r="G206" s="25"/>
      <c r="H206" s="26"/>
      <c r="I206" s="70"/>
      <c r="J206" s="71"/>
      <c r="K206" s="71">
        <v>1000</v>
      </c>
      <c r="L206" s="71"/>
      <c r="M206" s="71"/>
      <c r="N206" s="71"/>
      <c r="O206" s="71"/>
      <c r="P206" s="71"/>
      <c r="Q206" s="71"/>
      <c r="R206" s="26"/>
      <c r="S206" s="37"/>
      <c r="T206" s="56">
        <f t="shared" si="20"/>
        <v>26026</v>
      </c>
      <c r="U206" s="42"/>
      <c r="V206" s="42"/>
      <c r="W206" s="42"/>
      <c r="X206" s="42"/>
      <c r="Y206" s="42"/>
    </row>
    <row r="207" ht="15.75" customHeight="1" spans="1:25" x14ac:dyDescent="0.25">
      <c r="A207" s="25"/>
      <c r="B207" s="35">
        <v>497</v>
      </c>
      <c r="C207" s="25" t="s">
        <v>563</v>
      </c>
      <c r="D207" s="25" t="s">
        <v>564</v>
      </c>
      <c r="E207" s="53">
        <v>2130</v>
      </c>
      <c r="F207" s="50"/>
      <c r="G207" s="35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>
        <v>2130</v>
      </c>
      <c r="S207" s="37"/>
      <c r="T207" s="56">
        <f t="shared" si="20"/>
        <v>23896</v>
      </c>
      <c r="U207" s="42"/>
      <c r="V207" s="42"/>
      <c r="W207" s="42"/>
      <c r="X207" s="42"/>
      <c r="Y207" s="42"/>
    </row>
    <row r="208" ht="15.75" customHeight="1" spans="1:25" x14ac:dyDescent="0.25">
      <c r="A208" s="25"/>
      <c r="B208" s="35">
        <v>498</v>
      </c>
      <c r="C208" s="25" t="s">
        <v>543</v>
      </c>
      <c r="D208" s="25" t="s">
        <v>336</v>
      </c>
      <c r="E208" s="53">
        <v>600</v>
      </c>
      <c r="F208" s="50"/>
      <c r="G208" s="35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>
        <v>600</v>
      </c>
      <c r="S208" s="37"/>
      <c r="T208" s="56">
        <f t="shared" si="20"/>
        <v>23296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35">
        <v>499</v>
      </c>
      <c r="C209" s="25" t="s">
        <v>13</v>
      </c>
      <c r="D209" s="25" t="s">
        <v>52</v>
      </c>
      <c r="E209" s="53">
        <v>2500</v>
      </c>
      <c r="F209" s="50"/>
      <c r="G209" s="25"/>
      <c r="H209" s="26"/>
      <c r="I209" s="70"/>
      <c r="J209" s="71"/>
      <c r="K209" s="71"/>
      <c r="L209" s="71"/>
      <c r="M209" s="71"/>
      <c r="N209" s="71"/>
      <c r="O209" s="71"/>
      <c r="P209" s="71"/>
      <c r="Q209" s="71">
        <v>2500</v>
      </c>
      <c r="R209" s="26"/>
      <c r="S209" s="37"/>
      <c r="T209" s="56">
        <f t="shared" si="20"/>
        <v>20796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35">
        <v>500</v>
      </c>
      <c r="C210" s="25" t="s">
        <v>389</v>
      </c>
      <c r="D210" s="25" t="s">
        <v>54</v>
      </c>
      <c r="E210" s="53">
        <v>5400</v>
      </c>
      <c r="F210" s="50"/>
      <c r="G210" s="35">
        <v>54</v>
      </c>
      <c r="H210" s="26">
        <v>100</v>
      </c>
      <c r="I210" s="70">
        <v>5400</v>
      </c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20"/>
        <v>15396</v>
      </c>
      <c r="U210" s="42"/>
      <c r="V210" s="42"/>
      <c r="W210" s="42"/>
      <c r="X210" s="42"/>
      <c r="Y210" s="42"/>
    </row>
    <row r="211" ht="15.75" customHeight="1" spans="1:25" x14ac:dyDescent="0.25">
      <c r="A211" s="12"/>
      <c r="B211" s="26">
        <v>501</v>
      </c>
      <c r="C211" s="26" t="s">
        <v>565</v>
      </c>
      <c r="D211" s="26"/>
      <c r="E211" s="70">
        <v>1000</v>
      </c>
      <c r="F211" s="57"/>
      <c r="G211" s="26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20"/>
        <v>14396</v>
      </c>
      <c r="U211" s="42"/>
      <c r="V211" s="42"/>
      <c r="W211" s="42"/>
      <c r="X211" s="42"/>
      <c r="Y211" s="42"/>
    </row>
    <row r="212" ht="15.75" customHeight="1" spans="1:25" x14ac:dyDescent="0.25">
      <c r="A212" s="38" t="s">
        <v>566</v>
      </c>
      <c r="B212" s="29">
        <v>502</v>
      </c>
      <c r="C212" s="38" t="s">
        <v>567</v>
      </c>
      <c r="D212" s="38" t="s">
        <v>568</v>
      </c>
      <c r="E212" s="56">
        <v>3000</v>
      </c>
      <c r="F212" s="57"/>
      <c r="G212" s="26"/>
      <c r="H212" s="26"/>
      <c r="I212" s="70"/>
      <c r="J212" s="71"/>
      <c r="K212" s="71">
        <v>3000</v>
      </c>
      <c r="L212" s="71"/>
      <c r="M212" s="71"/>
      <c r="N212" s="71"/>
      <c r="O212" s="71"/>
      <c r="P212" s="71"/>
      <c r="Q212" s="71"/>
      <c r="R212" s="26"/>
      <c r="S212" s="37"/>
      <c r="T212" s="56">
        <f t="shared" si="20"/>
        <v>11396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>
        <v>503</v>
      </c>
      <c r="C213" s="38" t="s">
        <v>569</v>
      </c>
      <c r="D213" s="38" t="s">
        <v>570</v>
      </c>
      <c r="E213" s="56">
        <v>2000</v>
      </c>
      <c r="F213" s="57"/>
      <c r="G213" s="26"/>
      <c r="H213" s="26"/>
      <c r="I213" s="70"/>
      <c r="J213" s="71"/>
      <c r="K213" s="71">
        <v>2000</v>
      </c>
      <c r="L213" s="71"/>
      <c r="M213" s="71"/>
      <c r="N213" s="71"/>
      <c r="O213" s="71"/>
      <c r="P213" s="71"/>
      <c r="Q213" s="71"/>
      <c r="R213" s="26"/>
      <c r="S213" s="37"/>
      <c r="T213" s="56">
        <f t="shared" si="20"/>
        <v>9396</v>
      </c>
      <c r="U213" s="42"/>
      <c r="V213" s="42"/>
      <c r="W213" s="42"/>
      <c r="X213" s="42"/>
      <c r="Y213" s="42"/>
    </row>
    <row r="214" ht="15.75" customHeight="1" spans="1:25" x14ac:dyDescent="0.25">
      <c r="A214" s="26"/>
      <c r="B214" s="29">
        <v>504</v>
      </c>
      <c r="C214" s="38" t="s">
        <v>571</v>
      </c>
      <c r="D214" s="38" t="s">
        <v>572</v>
      </c>
      <c r="E214" s="56">
        <v>1600</v>
      </c>
      <c r="F214" s="57"/>
      <c r="G214" s="26"/>
      <c r="H214" s="26"/>
      <c r="I214" s="70"/>
      <c r="J214" s="71"/>
      <c r="K214" s="71"/>
      <c r="L214" s="71"/>
      <c r="M214" s="71"/>
      <c r="N214" s="71">
        <v>1600</v>
      </c>
      <c r="O214" s="71"/>
      <c r="P214" s="71"/>
      <c r="Q214" s="71"/>
      <c r="R214" s="26"/>
      <c r="S214" s="37"/>
      <c r="T214" s="56">
        <f t="shared" si="20"/>
        <v>7796</v>
      </c>
      <c r="U214" s="42"/>
      <c r="V214" s="42"/>
      <c r="W214" s="42"/>
      <c r="X214" s="42"/>
      <c r="Y214" s="42"/>
    </row>
    <row r="215" ht="15.75" customHeight="1" spans="1:25" x14ac:dyDescent="0.25">
      <c r="A215" s="26"/>
      <c r="B215" s="29">
        <v>505</v>
      </c>
      <c r="C215" s="38" t="s">
        <v>573</v>
      </c>
      <c r="D215" s="38" t="s">
        <v>574</v>
      </c>
      <c r="E215" s="56">
        <v>90</v>
      </c>
      <c r="F215" s="57"/>
      <c r="G215" s="29"/>
      <c r="H215" s="26"/>
      <c r="I215" s="70"/>
      <c r="J215" s="71"/>
      <c r="K215" s="71"/>
      <c r="L215" s="71"/>
      <c r="M215" s="71"/>
      <c r="N215" s="71">
        <v>90</v>
      </c>
      <c r="O215" s="71"/>
      <c r="P215" s="71"/>
      <c r="Q215" s="71"/>
      <c r="R215" s="26"/>
      <c r="S215" s="37"/>
      <c r="T215" s="56">
        <f t="shared" si="20"/>
        <v>7706</v>
      </c>
      <c r="U215" s="42"/>
      <c r="V215" s="42"/>
      <c r="W215" s="42"/>
      <c r="X215" s="42"/>
      <c r="Y215" s="42"/>
    </row>
    <row r="216" ht="15.75" customHeight="1" spans="1:25" x14ac:dyDescent="0.25">
      <c r="A216" s="26"/>
      <c r="B216" s="29">
        <v>506</v>
      </c>
      <c r="C216" s="38" t="s">
        <v>389</v>
      </c>
      <c r="D216" s="38" t="s">
        <v>489</v>
      </c>
      <c r="E216" s="56">
        <v>500</v>
      </c>
      <c r="F216" s="57"/>
      <c r="G216" s="29">
        <v>5</v>
      </c>
      <c r="H216" s="26">
        <v>100</v>
      </c>
      <c r="I216" s="70">
        <v>500</v>
      </c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20"/>
        <v>7206</v>
      </c>
      <c r="U216" s="42"/>
      <c r="V216" s="42"/>
      <c r="W216" s="42"/>
      <c r="X216" s="42"/>
      <c r="Y216" s="42"/>
    </row>
    <row r="217" ht="15.75" customHeight="1" spans="1:25" x14ac:dyDescent="0.25">
      <c r="A217" s="26"/>
      <c r="B217" s="29">
        <v>507</v>
      </c>
      <c r="C217" s="38" t="s">
        <v>389</v>
      </c>
      <c r="D217" s="38" t="s">
        <v>54</v>
      </c>
      <c r="E217" s="56">
        <v>1900</v>
      </c>
      <c r="F217" s="57"/>
      <c r="G217" s="29">
        <v>19</v>
      </c>
      <c r="H217" s="26">
        <v>100</v>
      </c>
      <c r="I217" s="70">
        <v>1900</v>
      </c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20"/>
        <v>5306</v>
      </c>
      <c r="U217" s="42"/>
      <c r="V217" s="42"/>
      <c r="W217" s="42"/>
      <c r="X217" s="42"/>
      <c r="Y217" s="42"/>
    </row>
    <row r="218" ht="15.75" customHeight="1" spans="1:25" x14ac:dyDescent="0.25">
      <c r="A218" s="40" t="s">
        <v>575</v>
      </c>
      <c r="B218" s="35"/>
      <c r="C218" s="40" t="s">
        <v>576</v>
      </c>
      <c r="D218" s="25"/>
      <c r="E218" s="53"/>
      <c r="F218" s="68">
        <v>75000</v>
      </c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>T217-E218+75000</f>
        <v>80306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>
        <v>508</v>
      </c>
      <c r="C219" s="40" t="s">
        <v>577</v>
      </c>
      <c r="D219" s="40" t="s">
        <v>341</v>
      </c>
      <c r="E219" s="53">
        <v>1500</v>
      </c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>
        <v>1500</v>
      </c>
      <c r="Q219" s="71"/>
      <c r="R219" s="26"/>
      <c r="S219" s="37"/>
      <c r="T219" s="56">
        <f t="shared" ref="T219:T230" si="22">T218-E219</f>
        <v>78806</v>
      </c>
      <c r="U219" s="42"/>
      <c r="V219" s="42"/>
      <c r="W219" s="42"/>
      <c r="X219" s="42"/>
      <c r="Y219" s="42"/>
    </row>
    <row r="220" ht="15.75" customHeight="1" spans="1:25" x14ac:dyDescent="0.25">
      <c r="A220" s="25" t="s">
        <v>578</v>
      </c>
      <c r="B220" s="35">
        <v>509</v>
      </c>
      <c r="C220" s="25" t="s">
        <v>389</v>
      </c>
      <c r="D220" s="25" t="s">
        <v>579</v>
      </c>
      <c r="E220" s="53">
        <v>39300</v>
      </c>
      <c r="F220" s="50"/>
      <c r="G220" s="35">
        <v>393</v>
      </c>
      <c r="H220" s="35">
        <v>100</v>
      </c>
      <c r="I220" s="53">
        <v>39300</v>
      </c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22"/>
        <v>39506</v>
      </c>
      <c r="U220" s="42"/>
      <c r="V220" s="42"/>
      <c r="W220" s="42"/>
      <c r="X220" s="42"/>
      <c r="Y220" s="42"/>
    </row>
    <row r="221" ht="15.75" customHeight="1" spans="1:25" x14ac:dyDescent="0.25">
      <c r="A221" s="25" t="s">
        <v>580</v>
      </c>
      <c r="B221" s="35">
        <v>510</v>
      </c>
      <c r="C221" s="25" t="s">
        <v>389</v>
      </c>
      <c r="D221" s="25" t="s">
        <v>54</v>
      </c>
      <c r="E221" s="53">
        <v>17800</v>
      </c>
      <c r="F221" s="50"/>
      <c r="G221" s="35">
        <v>178</v>
      </c>
      <c r="H221" s="26">
        <v>100</v>
      </c>
      <c r="I221" s="70">
        <v>17800</v>
      </c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22"/>
        <v>21706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>
        <v>511</v>
      </c>
      <c r="C222" s="25" t="s">
        <v>389</v>
      </c>
      <c r="D222" s="25" t="s">
        <v>69</v>
      </c>
      <c r="E222" s="53">
        <v>7800</v>
      </c>
      <c r="F222" s="50"/>
      <c r="G222" s="35">
        <v>78</v>
      </c>
      <c r="H222" s="26">
        <v>100</v>
      </c>
      <c r="I222" s="70">
        <v>7800</v>
      </c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22"/>
        <v>13906</v>
      </c>
      <c r="U222" s="42"/>
      <c r="V222" s="42"/>
      <c r="W222" s="42"/>
      <c r="X222" s="42"/>
      <c r="Y222" s="42"/>
    </row>
    <row r="223" ht="15.75" customHeight="1" spans="1:25" x14ac:dyDescent="0.25">
      <c r="A223" s="25" t="s">
        <v>581</v>
      </c>
      <c r="B223" s="35">
        <v>512</v>
      </c>
      <c r="C223" s="25" t="s">
        <v>582</v>
      </c>
      <c r="D223" s="25" t="s">
        <v>535</v>
      </c>
      <c r="E223" s="53">
        <v>4500</v>
      </c>
      <c r="F223" s="50"/>
      <c r="G223" s="3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>
        <v>4500</v>
      </c>
      <c r="S223" s="37"/>
      <c r="T223" s="56">
        <f t="shared" si="22"/>
        <v>9406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>
        <v>513</v>
      </c>
      <c r="C224" s="25" t="s">
        <v>389</v>
      </c>
      <c r="D224" s="25" t="s">
        <v>395</v>
      </c>
      <c r="E224" s="53">
        <v>3300</v>
      </c>
      <c r="F224" s="50"/>
      <c r="G224" s="35">
        <v>33</v>
      </c>
      <c r="H224" s="26">
        <v>100</v>
      </c>
      <c r="I224" s="70">
        <v>3300</v>
      </c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22"/>
        <v>6106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>
        <v>514</v>
      </c>
      <c r="C225" s="25" t="s">
        <v>389</v>
      </c>
      <c r="D225" s="25" t="s">
        <v>54</v>
      </c>
      <c r="E225" s="53">
        <v>16100</v>
      </c>
      <c r="F225" s="50"/>
      <c r="G225" s="35">
        <v>161</v>
      </c>
      <c r="H225" s="26">
        <v>100</v>
      </c>
      <c r="I225" s="70">
        <v>16100</v>
      </c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22"/>
        <v>-9994</v>
      </c>
      <c r="U225" s="42"/>
      <c r="V225" s="42"/>
      <c r="W225" s="42"/>
      <c r="X225" s="42"/>
      <c r="Y225" s="42"/>
    </row>
    <row r="226" ht="15.75" customHeight="1" spans="1:25" x14ac:dyDescent="0.25">
      <c r="A226" s="25"/>
      <c r="B226" s="35">
        <v>515</v>
      </c>
      <c r="C226" s="25" t="s">
        <v>583</v>
      </c>
      <c r="D226" s="25" t="s">
        <v>28</v>
      </c>
      <c r="E226" s="53">
        <v>1940</v>
      </c>
      <c r="F226" s="50"/>
      <c r="G226" s="25"/>
      <c r="H226" s="26"/>
      <c r="I226" s="70"/>
      <c r="J226" s="71"/>
      <c r="K226" s="71"/>
      <c r="L226" s="71">
        <v>1940</v>
      </c>
      <c r="M226" s="71"/>
      <c r="N226" s="71"/>
      <c r="O226" s="71"/>
      <c r="P226" s="71"/>
      <c r="Q226" s="71"/>
      <c r="R226" s="26"/>
      <c r="S226" s="37"/>
      <c r="T226" s="56">
        <f t="shared" si="22"/>
        <v>-11934</v>
      </c>
      <c r="U226" s="42"/>
      <c r="V226" s="42"/>
      <c r="W226" s="42"/>
      <c r="X226" s="42"/>
      <c r="Y226" s="42"/>
    </row>
    <row r="227" ht="15.75" customHeight="1" spans="1:25" x14ac:dyDescent="0.25">
      <c r="A227" s="25" t="s">
        <v>584</v>
      </c>
      <c r="B227" s="35">
        <v>516</v>
      </c>
      <c r="C227" s="25" t="s">
        <v>13</v>
      </c>
      <c r="D227" s="25" t="s">
        <v>104</v>
      </c>
      <c r="E227" s="53">
        <v>2500</v>
      </c>
      <c r="F227" s="50"/>
      <c r="G227" s="25"/>
      <c r="H227" s="26"/>
      <c r="I227" s="70"/>
      <c r="J227" s="71"/>
      <c r="K227" s="71"/>
      <c r="L227" s="71"/>
      <c r="M227" s="71"/>
      <c r="N227" s="71"/>
      <c r="O227" s="71"/>
      <c r="P227" s="71"/>
      <c r="Q227" s="71">
        <v>2500</v>
      </c>
      <c r="R227" s="26"/>
      <c r="S227" s="37"/>
      <c r="T227" s="56">
        <f t="shared" si="22"/>
        <v>-14434</v>
      </c>
      <c r="U227" s="42"/>
      <c r="V227" s="42"/>
      <c r="W227" s="42"/>
      <c r="X227" s="42"/>
      <c r="Y227" s="42"/>
    </row>
    <row r="228" ht="15.75" customHeight="1" spans="1:25" x14ac:dyDescent="0.25">
      <c r="A228" s="25"/>
      <c r="B228" s="35">
        <v>517</v>
      </c>
      <c r="C228" s="25" t="s">
        <v>585</v>
      </c>
      <c r="D228" s="25" t="s">
        <v>586</v>
      </c>
      <c r="E228" s="53">
        <v>750</v>
      </c>
      <c r="F228" s="50"/>
      <c r="G228" s="25"/>
      <c r="H228" s="26"/>
      <c r="I228" s="70"/>
      <c r="J228" s="71"/>
      <c r="K228" s="71"/>
      <c r="L228" s="71"/>
      <c r="M228" s="71"/>
      <c r="N228" s="71">
        <v>750</v>
      </c>
      <c r="O228" s="71"/>
      <c r="P228" s="71"/>
      <c r="Q228" s="71"/>
      <c r="R228" s="26"/>
      <c r="S228" s="37"/>
      <c r="T228" s="56">
        <f t="shared" si="22"/>
        <v>-15184</v>
      </c>
      <c r="U228" s="42"/>
      <c r="V228" s="42"/>
      <c r="W228" s="42"/>
      <c r="X228" s="42"/>
      <c r="Y228" s="42"/>
    </row>
    <row r="229" ht="15.75" customHeight="1" spans="1:25" x14ac:dyDescent="0.25">
      <c r="A229" s="25"/>
      <c r="B229" s="35">
        <v>518</v>
      </c>
      <c r="C229" s="25" t="s">
        <v>57</v>
      </c>
      <c r="D229" s="25" t="s">
        <v>587</v>
      </c>
      <c r="E229" s="53">
        <v>380</v>
      </c>
      <c r="F229" s="50"/>
      <c r="G229" s="25"/>
      <c r="H229" s="26"/>
      <c r="I229" s="70"/>
      <c r="J229" s="71"/>
      <c r="K229" s="71"/>
      <c r="L229" s="71"/>
      <c r="M229" s="71"/>
      <c r="N229" s="71"/>
      <c r="O229" s="71"/>
      <c r="P229" s="71">
        <v>380</v>
      </c>
      <c r="Q229" s="71"/>
      <c r="R229" s="26"/>
      <c r="S229" s="37"/>
      <c r="T229" s="56">
        <f t="shared" si="22"/>
        <v>-15564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>
        <v>519</v>
      </c>
      <c r="C230" s="26" t="s">
        <v>389</v>
      </c>
      <c r="D230" s="26" t="s">
        <v>54</v>
      </c>
      <c r="E230" s="56">
        <v>8500</v>
      </c>
      <c r="F230" s="57"/>
      <c r="G230" s="29">
        <v>85</v>
      </c>
      <c r="H230" s="26">
        <v>100</v>
      </c>
      <c r="I230" s="70">
        <v>8500</v>
      </c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22"/>
        <v>-24064</v>
      </c>
      <c r="U230" s="42"/>
      <c r="V230" s="42"/>
      <c r="W230" s="42"/>
      <c r="X230" s="42"/>
      <c r="Y230" s="42"/>
    </row>
    <row r="231" ht="15.75" customHeight="1" spans="1:25" x14ac:dyDescent="0.25">
      <c r="A231" s="26" t="s">
        <v>588</v>
      </c>
      <c r="B231" s="29"/>
      <c r="C231" s="26" t="s">
        <v>589</v>
      </c>
      <c r="D231" s="26"/>
      <c r="E231" s="56"/>
      <c r="F231" s="69">
        <v>111000</v>
      </c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>T230-E231+111000</f>
        <v>86936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>
        <v>520</v>
      </c>
      <c r="C232" s="26" t="s">
        <v>590</v>
      </c>
      <c r="D232" s="26" t="s">
        <v>591</v>
      </c>
      <c r="E232" s="56">
        <v>600</v>
      </c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>
        <v>600</v>
      </c>
      <c r="Q232" s="71"/>
      <c r="R232" s="26"/>
      <c r="S232" s="37"/>
      <c r="T232" s="56">
        <f t="shared" ref="T232:T261" si="23">T231-E232</f>
        <v>86336</v>
      </c>
      <c r="U232" s="42"/>
      <c r="V232" s="42"/>
      <c r="W232" s="42"/>
      <c r="X232" s="42"/>
      <c r="Y232" s="42"/>
    </row>
    <row r="233" ht="15.75" customHeight="1" spans="1:25" x14ac:dyDescent="0.25">
      <c r="A233" s="26"/>
      <c r="B233" s="29">
        <v>521</v>
      </c>
      <c r="C233" s="26" t="s">
        <v>592</v>
      </c>
      <c r="D233" s="26" t="s">
        <v>593</v>
      </c>
      <c r="E233" s="56">
        <v>1600</v>
      </c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>
        <v>1600</v>
      </c>
      <c r="Q233" s="71"/>
      <c r="R233" s="26"/>
      <c r="S233" s="37"/>
      <c r="T233" s="56">
        <f t="shared" si="23"/>
        <v>84736</v>
      </c>
      <c r="U233" s="42"/>
      <c r="V233" s="42"/>
      <c r="W233" s="42"/>
      <c r="X233" s="42"/>
      <c r="Y233" s="42"/>
    </row>
    <row r="234" ht="15.75" customHeight="1" spans="1:25" x14ac:dyDescent="0.25">
      <c r="A234" s="26"/>
      <c r="B234" s="29">
        <v>522</v>
      </c>
      <c r="C234" s="26" t="s">
        <v>594</v>
      </c>
      <c r="D234" s="26" t="s">
        <v>119</v>
      </c>
      <c r="E234" s="56">
        <v>1000</v>
      </c>
      <c r="F234" s="57"/>
      <c r="G234" s="26"/>
      <c r="H234" s="26"/>
      <c r="I234" s="70"/>
      <c r="J234" s="71"/>
      <c r="K234" s="71"/>
      <c r="L234" s="71"/>
      <c r="M234" s="71">
        <v>1000</v>
      </c>
      <c r="N234" s="71"/>
      <c r="O234" s="71"/>
      <c r="P234" s="71"/>
      <c r="Q234" s="71"/>
      <c r="R234" s="26"/>
      <c r="S234" s="37"/>
      <c r="T234" s="56">
        <f t="shared" si="23"/>
        <v>83736</v>
      </c>
      <c r="U234" s="42"/>
      <c r="V234" s="42"/>
      <c r="W234" s="42"/>
      <c r="X234" s="42"/>
      <c r="Y234" s="42"/>
    </row>
    <row r="235" ht="15.75" customHeight="1" spans="1:25" x14ac:dyDescent="0.25">
      <c r="A235" s="26"/>
      <c r="B235" s="29">
        <v>523</v>
      </c>
      <c r="C235" s="26" t="s">
        <v>595</v>
      </c>
      <c r="D235" s="26" t="s">
        <v>596</v>
      </c>
      <c r="E235" s="56">
        <v>2000</v>
      </c>
      <c r="F235" s="57"/>
      <c r="G235" s="26"/>
      <c r="H235" s="26"/>
      <c r="I235" s="70"/>
      <c r="J235" s="71"/>
      <c r="K235" s="71"/>
      <c r="L235" s="71"/>
      <c r="M235" s="71"/>
      <c r="N235" s="71">
        <v>2000</v>
      </c>
      <c r="O235" s="71"/>
      <c r="P235" s="71"/>
      <c r="Q235" s="71"/>
      <c r="R235" s="26"/>
      <c r="S235" s="37"/>
      <c r="T235" s="56">
        <f t="shared" si="23"/>
        <v>81736</v>
      </c>
      <c r="U235" s="42"/>
      <c r="V235" s="42"/>
      <c r="W235" s="42"/>
      <c r="X235" s="42"/>
      <c r="Y235" s="42"/>
    </row>
    <row r="236" ht="15.75" customHeight="1" spans="1:25" x14ac:dyDescent="0.25">
      <c r="A236" s="26"/>
      <c r="B236" s="29">
        <v>524</v>
      </c>
      <c r="C236" s="26" t="s">
        <v>597</v>
      </c>
      <c r="D236" s="26" t="s">
        <v>598</v>
      </c>
      <c r="E236" s="56">
        <v>12580</v>
      </c>
      <c r="F236" s="57"/>
      <c r="G236" s="26"/>
      <c r="H236" s="26"/>
      <c r="I236" s="70"/>
      <c r="J236" s="71"/>
      <c r="K236" s="71"/>
      <c r="L236" s="71"/>
      <c r="M236" s="71"/>
      <c r="N236" s="71">
        <v>12580</v>
      </c>
      <c r="O236" s="71"/>
      <c r="P236" s="71"/>
      <c r="Q236" s="71"/>
      <c r="R236" s="26"/>
      <c r="S236" s="37"/>
      <c r="T236" s="56">
        <f t="shared" si="23"/>
        <v>69156</v>
      </c>
      <c r="U236" s="42"/>
      <c r="V236" s="42"/>
      <c r="W236" s="42"/>
      <c r="X236" s="42"/>
      <c r="Y236" s="42"/>
    </row>
    <row r="237" ht="15.75" customHeight="1" spans="1:25" x14ac:dyDescent="0.25">
      <c r="A237" s="25" t="s">
        <v>599</v>
      </c>
      <c r="B237" s="35">
        <v>525</v>
      </c>
      <c r="C237" s="25" t="s">
        <v>600</v>
      </c>
      <c r="D237" s="25" t="s">
        <v>535</v>
      </c>
      <c r="E237" s="53">
        <v>4250</v>
      </c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>
        <v>4250</v>
      </c>
      <c r="S237" s="37"/>
      <c r="T237" s="56">
        <f t="shared" si="23"/>
        <v>64906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>
        <v>526</v>
      </c>
      <c r="C238" s="25" t="s">
        <v>601</v>
      </c>
      <c r="D238" s="25" t="s">
        <v>602</v>
      </c>
      <c r="E238" s="53">
        <v>1200</v>
      </c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>
        <v>1200</v>
      </c>
      <c r="Q238" s="71"/>
      <c r="R238" s="26"/>
      <c r="S238" s="37"/>
      <c r="T238" s="56">
        <f t="shared" si="23"/>
        <v>63706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>
        <v>527</v>
      </c>
      <c r="C239" s="25" t="s">
        <v>13</v>
      </c>
      <c r="D239" s="25" t="s">
        <v>104</v>
      </c>
      <c r="E239" s="53">
        <v>9000</v>
      </c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>
        <v>9000</v>
      </c>
      <c r="R239" s="26"/>
      <c r="S239" s="37"/>
      <c r="T239" s="56">
        <f t="shared" si="23"/>
        <v>54706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>
        <v>528</v>
      </c>
      <c r="C240" s="25" t="s">
        <v>300</v>
      </c>
      <c r="D240" s="25" t="s">
        <v>603</v>
      </c>
      <c r="E240" s="53">
        <v>2500</v>
      </c>
      <c r="F240" s="57"/>
      <c r="G240" s="26"/>
      <c r="H240" s="26"/>
      <c r="I240" s="70"/>
      <c r="J240" s="71"/>
      <c r="K240" s="71">
        <v>2500</v>
      </c>
      <c r="L240" s="71"/>
      <c r="M240" s="71"/>
      <c r="N240" s="71"/>
      <c r="O240" s="71"/>
      <c r="P240" s="71"/>
      <c r="Q240" s="71"/>
      <c r="R240" s="26"/>
      <c r="S240" s="37"/>
      <c r="T240" s="56">
        <f t="shared" si="23"/>
        <v>52206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>
        <v>529</v>
      </c>
      <c r="C241" s="25" t="s">
        <v>57</v>
      </c>
      <c r="D241" s="25" t="s">
        <v>604</v>
      </c>
      <c r="E241" s="53">
        <v>380</v>
      </c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>
        <v>380</v>
      </c>
      <c r="Q241" s="71"/>
      <c r="R241" s="26"/>
      <c r="S241" s="37"/>
      <c r="T241" s="56">
        <f t="shared" si="23"/>
        <v>51826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>
        <v>529</v>
      </c>
      <c r="C242" s="25" t="s">
        <v>605</v>
      </c>
      <c r="D242" s="25" t="s">
        <v>606</v>
      </c>
      <c r="E242" s="53">
        <v>2000</v>
      </c>
      <c r="F242" s="57"/>
      <c r="G242" s="26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23"/>
        <v>49826</v>
      </c>
      <c r="U242" s="42"/>
      <c r="V242" s="42"/>
      <c r="W242" s="42"/>
      <c r="X242" s="42"/>
      <c r="Y242" s="42"/>
    </row>
    <row r="243" ht="15.75" customHeight="1" spans="1:25" x14ac:dyDescent="0.25">
      <c r="A243" s="25" t="s">
        <v>607</v>
      </c>
      <c r="B243" s="35">
        <v>530</v>
      </c>
      <c r="C243" s="25" t="s">
        <v>608</v>
      </c>
      <c r="D243" s="25" t="s">
        <v>472</v>
      </c>
      <c r="E243" s="53">
        <v>520</v>
      </c>
      <c r="F243" s="57"/>
      <c r="G243" s="26"/>
      <c r="H243" s="26"/>
      <c r="I243" s="70"/>
      <c r="J243" s="71"/>
      <c r="K243" s="71"/>
      <c r="L243" s="71"/>
      <c r="M243" s="71"/>
      <c r="N243" s="71"/>
      <c r="O243" s="71"/>
      <c r="P243" s="71">
        <v>520</v>
      </c>
      <c r="Q243" s="71"/>
      <c r="R243" s="26"/>
      <c r="S243" s="37"/>
      <c r="T243" s="56">
        <f t="shared" si="23"/>
        <v>49306</v>
      </c>
      <c r="U243" s="42"/>
      <c r="V243" s="42"/>
      <c r="W243" s="42"/>
      <c r="X243" s="42"/>
      <c r="Y243" s="42"/>
    </row>
    <row r="244" ht="15.75" customHeight="1" spans="1:25" x14ac:dyDescent="0.25">
      <c r="A244" s="25"/>
      <c r="B244" s="35">
        <v>531</v>
      </c>
      <c r="C244" s="25" t="s">
        <v>609</v>
      </c>
      <c r="D244" s="25" t="s">
        <v>610</v>
      </c>
      <c r="E244" s="53">
        <v>330</v>
      </c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>
        <v>330</v>
      </c>
      <c r="Q244" s="71"/>
      <c r="R244" s="26"/>
      <c r="S244" s="37"/>
      <c r="T244" s="56">
        <f t="shared" si="23"/>
        <v>48976</v>
      </c>
      <c r="U244" s="42"/>
      <c r="V244" s="42"/>
      <c r="W244" s="42"/>
      <c r="X244" s="42"/>
      <c r="Y244" s="42"/>
    </row>
    <row r="245" ht="15.75" customHeight="1" spans="1:25" x14ac:dyDescent="0.25">
      <c r="A245" s="25"/>
      <c r="B245" s="35">
        <v>532</v>
      </c>
      <c r="C245" s="25" t="s">
        <v>611</v>
      </c>
      <c r="D245" s="25" t="s">
        <v>612</v>
      </c>
      <c r="E245" s="53">
        <v>100</v>
      </c>
      <c r="F245" s="57"/>
      <c r="G245" s="26"/>
      <c r="H245" s="26"/>
      <c r="I245" s="70"/>
      <c r="J245" s="71"/>
      <c r="K245" s="71"/>
      <c r="L245" s="71"/>
      <c r="M245" s="71"/>
      <c r="N245" s="71">
        <v>100</v>
      </c>
      <c r="O245" s="71"/>
      <c r="P245" s="71"/>
      <c r="Q245" s="71"/>
      <c r="R245" s="26"/>
      <c r="S245" s="37"/>
      <c r="T245" s="56">
        <f t="shared" si="23"/>
        <v>48876</v>
      </c>
      <c r="U245" s="42"/>
      <c r="V245" s="42"/>
      <c r="W245" s="42"/>
      <c r="X245" s="42"/>
      <c r="Y245" s="42"/>
    </row>
    <row r="246" ht="15.75" customHeight="1" spans="1:25" x14ac:dyDescent="0.25">
      <c r="A246" s="25" t="s">
        <v>613</v>
      </c>
      <c r="B246" s="35">
        <v>533</v>
      </c>
      <c r="C246" s="25" t="s">
        <v>389</v>
      </c>
      <c r="D246" s="25" t="s">
        <v>162</v>
      </c>
      <c r="E246" s="53">
        <v>2000</v>
      </c>
      <c r="F246" s="50"/>
      <c r="G246" s="35">
        <v>20</v>
      </c>
      <c r="H246" s="26">
        <v>100</v>
      </c>
      <c r="I246" s="70">
        <v>2000</v>
      </c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23"/>
        <v>46876</v>
      </c>
      <c r="U246" s="42"/>
      <c r="V246" s="42"/>
      <c r="W246" s="42"/>
      <c r="X246" s="42"/>
      <c r="Y246" s="42"/>
    </row>
    <row r="247" ht="15.75" customHeight="1" spans="1:25" x14ac:dyDescent="0.25">
      <c r="A247" s="25"/>
      <c r="B247" s="35">
        <v>534</v>
      </c>
      <c r="C247" s="25" t="s">
        <v>614</v>
      </c>
      <c r="D247" s="25" t="s">
        <v>28</v>
      </c>
      <c r="E247" s="53">
        <v>890</v>
      </c>
      <c r="F247" s="50"/>
      <c r="G247" s="35"/>
      <c r="H247" s="26"/>
      <c r="I247" s="70"/>
      <c r="J247" s="71"/>
      <c r="K247" s="71"/>
      <c r="L247" s="71">
        <v>890</v>
      </c>
      <c r="M247" s="71"/>
      <c r="N247" s="71"/>
      <c r="O247" s="71"/>
      <c r="P247" s="71"/>
      <c r="Q247" s="71"/>
      <c r="R247" s="26"/>
      <c r="S247" s="37"/>
      <c r="T247" s="56">
        <f t="shared" si="23"/>
        <v>45986</v>
      </c>
      <c r="U247" s="42"/>
      <c r="V247" s="42"/>
      <c r="W247" s="42"/>
      <c r="X247" s="42"/>
      <c r="Y247" s="42"/>
    </row>
    <row r="248" ht="15.75" customHeight="1" spans="1:25" x14ac:dyDescent="0.25">
      <c r="A248" s="26" t="s">
        <v>615</v>
      </c>
      <c r="B248" s="26">
        <v>535</v>
      </c>
      <c r="C248" s="26" t="s">
        <v>616</v>
      </c>
      <c r="D248" s="26" t="s">
        <v>557</v>
      </c>
      <c r="E248" s="70">
        <v>4250</v>
      </c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>
        <v>4250</v>
      </c>
      <c r="S248" s="37"/>
      <c r="T248" s="56">
        <f t="shared" si="23"/>
        <v>41736</v>
      </c>
      <c r="U248" s="42"/>
      <c r="V248" s="42"/>
      <c r="W248" s="42"/>
      <c r="X248" s="42"/>
      <c r="Y248" s="42"/>
    </row>
    <row r="249" ht="15.75" customHeight="1" spans="1:25" x14ac:dyDescent="0.25">
      <c r="A249" s="26"/>
      <c r="B249" s="26">
        <v>536</v>
      </c>
      <c r="C249" s="26" t="s">
        <v>571</v>
      </c>
      <c r="D249" s="26" t="s">
        <v>612</v>
      </c>
      <c r="E249" s="70">
        <v>1350</v>
      </c>
      <c r="F249" s="57"/>
      <c r="G249" s="26"/>
      <c r="H249" s="26"/>
      <c r="I249" s="70"/>
      <c r="J249" s="71"/>
      <c r="K249" s="71"/>
      <c r="L249" s="71"/>
      <c r="M249" s="71"/>
      <c r="N249" s="71">
        <v>1350</v>
      </c>
      <c r="O249" s="71"/>
      <c r="P249" s="71"/>
      <c r="Q249" s="71"/>
      <c r="R249" s="26"/>
      <c r="S249" s="37"/>
      <c r="T249" s="56">
        <f t="shared" si="23"/>
        <v>40386</v>
      </c>
      <c r="U249" s="42"/>
      <c r="V249" s="42"/>
      <c r="W249" s="42"/>
      <c r="X249" s="42"/>
      <c r="Y249" s="42"/>
    </row>
    <row r="250" ht="15.75" customHeight="1" spans="1:25" x14ac:dyDescent="0.25">
      <c r="A250" s="26"/>
      <c r="B250" s="26">
        <v>537</v>
      </c>
      <c r="C250" s="26" t="s">
        <v>617</v>
      </c>
      <c r="D250" s="26" t="s">
        <v>564</v>
      </c>
      <c r="E250" s="70">
        <v>150</v>
      </c>
      <c r="F250" s="57"/>
      <c r="G250" s="26"/>
      <c r="H250" s="26"/>
      <c r="I250" s="70"/>
      <c r="J250" s="71"/>
      <c r="K250" s="71"/>
      <c r="L250" s="71"/>
      <c r="M250" s="71"/>
      <c r="N250" s="71"/>
      <c r="O250" s="71">
        <v>150</v>
      </c>
      <c r="P250" s="71"/>
      <c r="Q250" s="71"/>
      <c r="R250" s="26"/>
      <c r="S250" s="37"/>
      <c r="T250" s="56">
        <f t="shared" si="23"/>
        <v>40236</v>
      </c>
      <c r="U250" s="42"/>
      <c r="V250" s="42"/>
      <c r="W250" s="42"/>
      <c r="X250" s="42"/>
      <c r="Y250" s="42"/>
    </row>
    <row r="251" ht="15.75" customHeight="1" spans="1:25" x14ac:dyDescent="0.25">
      <c r="A251" s="26"/>
      <c r="B251" s="26">
        <v>538</v>
      </c>
      <c r="C251" s="26" t="s">
        <v>389</v>
      </c>
      <c r="D251" s="26" t="s">
        <v>498</v>
      </c>
      <c r="E251" s="70">
        <v>4400</v>
      </c>
      <c r="F251" s="57"/>
      <c r="G251" s="26">
        <v>44</v>
      </c>
      <c r="H251" s="26">
        <v>100</v>
      </c>
      <c r="I251" s="70">
        <v>4400</v>
      </c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23"/>
        <v>35836</v>
      </c>
      <c r="U251" s="42"/>
      <c r="V251" s="42"/>
      <c r="W251" s="42"/>
      <c r="X251" s="42"/>
      <c r="Y251" s="42"/>
    </row>
    <row r="252" ht="15.75" customHeight="1" spans="1:25" x14ac:dyDescent="0.25">
      <c r="A252" s="26"/>
      <c r="B252" s="26">
        <v>539</v>
      </c>
      <c r="C252" s="26" t="s">
        <v>389</v>
      </c>
      <c r="D252" s="26" t="s">
        <v>618</v>
      </c>
      <c r="E252" s="70">
        <v>2700</v>
      </c>
      <c r="F252" s="57"/>
      <c r="G252" s="26">
        <v>27</v>
      </c>
      <c r="H252" s="26">
        <v>100</v>
      </c>
      <c r="I252" s="70">
        <v>2700</v>
      </c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23"/>
        <v>33136</v>
      </c>
      <c r="U252" s="42"/>
      <c r="V252" s="42"/>
      <c r="W252" s="42"/>
      <c r="X252" s="42"/>
      <c r="Y252" s="42"/>
    </row>
    <row r="253" ht="15.75" customHeight="1" spans="1:25" x14ac:dyDescent="0.25">
      <c r="A253" s="25" t="s">
        <v>619</v>
      </c>
      <c r="B253" s="35">
        <v>540</v>
      </c>
      <c r="C253" s="25" t="s">
        <v>213</v>
      </c>
      <c r="D253" s="25" t="s">
        <v>28</v>
      </c>
      <c r="E253" s="53">
        <v>890</v>
      </c>
      <c r="F253" s="50"/>
      <c r="G253" s="35"/>
      <c r="H253" s="26"/>
      <c r="I253" s="70"/>
      <c r="J253" s="71"/>
      <c r="K253" s="71"/>
      <c r="L253" s="71">
        <v>890</v>
      </c>
      <c r="M253" s="71"/>
      <c r="N253" s="71"/>
      <c r="O253" s="71"/>
      <c r="P253" s="71"/>
      <c r="Q253" s="71"/>
      <c r="R253" s="26"/>
      <c r="S253" s="37"/>
      <c r="T253" s="56">
        <f t="shared" si="23"/>
        <v>32246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>
        <v>541</v>
      </c>
      <c r="C254" s="25" t="s">
        <v>620</v>
      </c>
      <c r="D254" s="25" t="s">
        <v>612</v>
      </c>
      <c r="E254" s="53">
        <v>420</v>
      </c>
      <c r="F254" s="50"/>
      <c r="G254" s="35"/>
      <c r="H254" s="26"/>
      <c r="I254" s="70"/>
      <c r="J254" s="71"/>
      <c r="K254" s="71"/>
      <c r="L254" s="71"/>
      <c r="M254" s="71"/>
      <c r="N254" s="71">
        <v>420</v>
      </c>
      <c r="O254" s="71"/>
      <c r="P254" s="71"/>
      <c r="Q254" s="71"/>
      <c r="R254" s="26"/>
      <c r="S254" s="37"/>
      <c r="T254" s="56">
        <f t="shared" si="23"/>
        <v>31826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>
        <v>542</v>
      </c>
      <c r="C255" s="25" t="s">
        <v>621</v>
      </c>
      <c r="D255" s="25" t="s">
        <v>622</v>
      </c>
      <c r="E255" s="53">
        <v>150</v>
      </c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>
        <v>150</v>
      </c>
      <c r="Q255" s="71"/>
      <c r="R255" s="26"/>
      <c r="S255" s="37"/>
      <c r="T255" s="56">
        <f t="shared" si="23"/>
        <v>31676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>
        <v>543</v>
      </c>
      <c r="C256" s="25" t="s">
        <v>623</v>
      </c>
      <c r="D256" s="25" t="s">
        <v>557</v>
      </c>
      <c r="E256" s="53">
        <v>610</v>
      </c>
      <c r="F256" s="50"/>
      <c r="G256" s="25"/>
      <c r="H256" s="26"/>
      <c r="I256" s="70"/>
      <c r="J256" s="71"/>
      <c r="K256" s="71"/>
      <c r="L256" s="71"/>
      <c r="M256" s="71"/>
      <c r="N256" s="71"/>
      <c r="O256" s="71"/>
      <c r="P256" s="71">
        <v>610</v>
      </c>
      <c r="Q256" s="71"/>
      <c r="R256" s="26"/>
      <c r="S256" s="37"/>
      <c r="T256" s="56">
        <f t="shared" si="23"/>
        <v>31066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>
        <v>544</v>
      </c>
      <c r="C257" s="25" t="s">
        <v>98</v>
      </c>
      <c r="D257" s="25" t="s">
        <v>119</v>
      </c>
      <c r="E257" s="53">
        <v>500</v>
      </c>
      <c r="F257" s="50"/>
      <c r="G257" s="35"/>
      <c r="H257" s="26"/>
      <c r="I257" s="70"/>
      <c r="J257" s="71"/>
      <c r="K257" s="71"/>
      <c r="L257" s="71"/>
      <c r="M257" s="71">
        <v>500</v>
      </c>
      <c r="N257" s="71"/>
      <c r="O257" s="71"/>
      <c r="P257" s="71"/>
      <c r="Q257" s="71"/>
      <c r="R257" s="26"/>
      <c r="S257" s="37"/>
      <c r="T257" s="56">
        <f t="shared" si="23"/>
        <v>30566</v>
      </c>
      <c r="U257" s="42"/>
      <c r="V257" s="42"/>
      <c r="W257" s="42"/>
      <c r="X257" s="42"/>
      <c r="Y257" s="42"/>
    </row>
    <row r="258" ht="15.75" customHeight="1" spans="1:25" x14ac:dyDescent="0.25">
      <c r="A258" s="25"/>
      <c r="B258" s="35">
        <v>545</v>
      </c>
      <c r="C258" s="25" t="s">
        <v>389</v>
      </c>
      <c r="D258" s="25" t="s">
        <v>263</v>
      </c>
      <c r="E258" s="53">
        <v>5300</v>
      </c>
      <c r="F258" s="50"/>
      <c r="G258" s="35">
        <v>53</v>
      </c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 t="shared" si="23"/>
        <v>25266</v>
      </c>
      <c r="U258" s="42"/>
      <c r="V258" s="42"/>
      <c r="W258" s="42"/>
      <c r="X258" s="42"/>
      <c r="Y258" s="42"/>
    </row>
    <row r="259" ht="15.75" customHeight="1" spans="1:25" x14ac:dyDescent="0.25">
      <c r="A259" s="25"/>
      <c r="B259" s="35">
        <v>546</v>
      </c>
      <c r="C259" s="25" t="s">
        <v>389</v>
      </c>
      <c r="D259" s="25" t="s">
        <v>69</v>
      </c>
      <c r="E259" s="53">
        <v>6100</v>
      </c>
      <c r="F259" s="50"/>
      <c r="G259" s="35">
        <v>61</v>
      </c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si="23"/>
        <v>19166</v>
      </c>
      <c r="U259" s="42"/>
      <c r="V259" s="42"/>
      <c r="W259" s="42"/>
      <c r="X259" s="42"/>
      <c r="Y259" s="42"/>
    </row>
    <row r="260" ht="15.75" customHeight="1" spans="1:25" x14ac:dyDescent="0.25">
      <c r="A260" s="25"/>
      <c r="B260" s="35">
        <v>547</v>
      </c>
      <c r="C260" s="25" t="s">
        <v>389</v>
      </c>
      <c r="D260" s="25" t="s">
        <v>579</v>
      </c>
      <c r="E260" s="53">
        <v>36100</v>
      </c>
      <c r="F260" s="50"/>
      <c r="G260" s="35">
        <v>361</v>
      </c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23"/>
        <v>-16934</v>
      </c>
      <c r="U260" s="42"/>
      <c r="V260" s="42"/>
      <c r="W260" s="42"/>
      <c r="X260" s="42"/>
      <c r="Y260" s="42"/>
    </row>
    <row r="261" ht="15.75" customHeight="1" spans="1:25" x14ac:dyDescent="0.25">
      <c r="A261" s="25"/>
      <c r="B261" s="35">
        <v>548</v>
      </c>
      <c r="C261" s="25" t="s">
        <v>624</v>
      </c>
      <c r="D261" s="25" t="s">
        <v>603</v>
      </c>
      <c r="E261" s="53">
        <v>45000</v>
      </c>
      <c r="F261" s="50"/>
      <c r="G261" s="25"/>
      <c r="H261" s="26"/>
      <c r="I261" s="70"/>
      <c r="J261" s="71"/>
      <c r="K261" s="71">
        <v>45000</v>
      </c>
      <c r="L261" s="71"/>
      <c r="M261" s="71"/>
      <c r="N261" s="71"/>
      <c r="O261" s="71"/>
      <c r="P261" s="71"/>
      <c r="Q261" s="71"/>
      <c r="R261" s="26"/>
      <c r="S261" s="37"/>
      <c r="T261" s="56">
        <f t="shared" si="23"/>
        <v>-61934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9"/>
      <c r="C262" s="26" t="s">
        <v>625</v>
      </c>
      <c r="D262" s="26"/>
      <c r="E262" s="56"/>
      <c r="F262" s="69">
        <v>45000</v>
      </c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56">
        <f>T261-E262+45000</f>
        <v>-16934</v>
      </c>
      <c r="U262" s="42"/>
      <c r="V262" s="42"/>
      <c r="W262" s="42"/>
      <c r="X262" s="42"/>
      <c r="Y262" s="42"/>
    </row>
    <row r="263" ht="15.75" customHeight="1" spans="1:25" x14ac:dyDescent="0.25">
      <c r="A263" s="26"/>
      <c r="B263" s="29">
        <v>549</v>
      </c>
      <c r="C263" s="26" t="s">
        <v>287</v>
      </c>
      <c r="D263" s="26" t="s">
        <v>626</v>
      </c>
      <c r="E263" s="56">
        <v>900</v>
      </c>
      <c r="F263" s="57"/>
      <c r="G263" s="29"/>
      <c r="H263" s="26"/>
      <c r="I263" s="70"/>
      <c r="J263" s="71"/>
      <c r="K263" s="71"/>
      <c r="L263" s="71"/>
      <c r="M263" s="71"/>
      <c r="N263" s="71"/>
      <c r="O263" s="71"/>
      <c r="P263" s="71">
        <v>900</v>
      </c>
      <c r="Q263" s="71"/>
      <c r="R263" s="26"/>
      <c r="S263" s="37"/>
      <c r="T263" s="56">
        <f t="shared" ref="T263:T265" si="24">T262-E263</f>
        <v>-17834</v>
      </c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56">
        <f t="shared" si="24"/>
        <v>-17834</v>
      </c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56">
        <f t="shared" si="24"/>
        <v>-17834</v>
      </c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26"/>
      <c r="B298" s="26"/>
      <c r="C298" s="26"/>
      <c r="D298" s="26"/>
      <c r="E298" s="70"/>
      <c r="F298" s="57"/>
      <c r="G298" s="26"/>
      <c r="H298" s="26"/>
      <c r="I298" s="70"/>
      <c r="J298" s="71"/>
      <c r="K298" s="71"/>
      <c r="L298" s="71"/>
      <c r="M298" s="71"/>
      <c r="N298" s="71"/>
      <c r="O298" s="71"/>
      <c r="P298" s="71"/>
      <c r="Q298" s="71"/>
      <c r="R298" s="26"/>
      <c r="S298" s="37"/>
      <c r="T298" s="26"/>
      <c r="U298" s="42"/>
      <c r="V298" s="42"/>
      <c r="W298" s="42"/>
      <c r="X298" s="42"/>
      <c r="Y298" s="42"/>
    </row>
    <row r="299" ht="15.75" customHeight="1" spans="1:25" x14ac:dyDescent="0.25">
      <c r="A299" s="26"/>
      <c r="B299" s="26"/>
      <c r="C299" s="26"/>
      <c r="D299" s="26"/>
      <c r="E299" s="70"/>
      <c r="F299" s="57"/>
      <c r="G299" s="26"/>
      <c r="H299" s="26"/>
      <c r="I299" s="70"/>
      <c r="J299" s="71"/>
      <c r="K299" s="71"/>
      <c r="L299" s="71"/>
      <c r="M299" s="71"/>
      <c r="N299" s="71"/>
      <c r="O299" s="71"/>
      <c r="P299" s="71"/>
      <c r="Q299" s="71"/>
      <c r="R299" s="26"/>
      <c r="S299" s="37"/>
      <c r="T299" s="26"/>
      <c r="U299" s="42"/>
      <c r="V299" s="42"/>
      <c r="W299" s="42"/>
      <c r="X299" s="42"/>
      <c r="Y299" s="42"/>
    </row>
    <row r="300" ht="15.75" customHeight="1" spans="1:25" x14ac:dyDescent="0.25">
      <c r="A300" s="26"/>
      <c r="B300" s="26"/>
      <c r="C300" s="26"/>
      <c r="D300" s="26"/>
      <c r="E300" s="70"/>
      <c r="F300" s="57"/>
      <c r="G300" s="26"/>
      <c r="H300" s="26"/>
      <c r="I300" s="70"/>
      <c r="J300" s="71"/>
      <c r="K300" s="71"/>
      <c r="L300" s="71"/>
      <c r="M300" s="71"/>
      <c r="N300" s="71"/>
      <c r="O300" s="71"/>
      <c r="P300" s="71"/>
      <c r="Q300" s="71"/>
      <c r="R300" s="26"/>
      <c r="S300" s="37"/>
      <c r="T300" s="26"/>
      <c r="U300" s="42"/>
      <c r="V300" s="42"/>
      <c r="W300" s="42"/>
      <c r="X300" s="42"/>
      <c r="Y300" s="42"/>
    </row>
    <row r="301" ht="15.75" customHeight="1" spans="1:25" x14ac:dyDescent="0.25">
      <c r="A301" s="26"/>
      <c r="B301" s="26"/>
      <c r="C301" s="26"/>
      <c r="D301" s="26"/>
      <c r="E301" s="70"/>
      <c r="F301" s="57"/>
      <c r="G301" s="26"/>
      <c r="H301" s="26"/>
      <c r="I301" s="70"/>
      <c r="J301" s="71"/>
      <c r="K301" s="71"/>
      <c r="L301" s="71"/>
      <c r="M301" s="71"/>
      <c r="N301" s="71"/>
      <c r="O301" s="71"/>
      <c r="P301" s="71"/>
      <c r="Q301" s="71"/>
      <c r="R301" s="26"/>
      <c r="S301" s="37"/>
      <c r="T301" s="26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spans="1:25" x14ac:dyDescent="0.25">
      <c r="A462" s="42"/>
      <c r="B462" s="42"/>
      <c r="C462" s="42"/>
      <c r="D462" s="42"/>
      <c r="E462" s="58"/>
      <c r="F462" s="43"/>
      <c r="G462" s="42"/>
      <c r="H462" s="42"/>
      <c r="I462" s="58"/>
      <c r="J462" s="59"/>
      <c r="K462" s="59"/>
      <c r="L462" s="59"/>
      <c r="M462" s="59"/>
      <c r="N462" s="59"/>
      <c r="O462" s="59"/>
      <c r="P462" s="59"/>
      <c r="Q462" s="59"/>
      <c r="R462" s="42"/>
      <c r="S462" s="44"/>
      <c r="T462" s="42"/>
      <c r="U462" s="42"/>
      <c r="V462" s="42"/>
      <c r="W462" s="42"/>
      <c r="X462" s="42"/>
      <c r="Y462" s="42"/>
    </row>
    <row r="463" ht="15.75" customHeight="1" spans="1:25" x14ac:dyDescent="0.25">
      <c r="A463" s="42"/>
      <c r="B463" s="42"/>
      <c r="C463" s="42"/>
      <c r="D463" s="42"/>
      <c r="E463" s="58"/>
      <c r="F463" s="43"/>
      <c r="G463" s="42"/>
      <c r="H463" s="42"/>
      <c r="I463" s="58"/>
      <c r="J463" s="59"/>
      <c r="K463" s="59"/>
      <c r="L463" s="59"/>
      <c r="M463" s="59"/>
      <c r="N463" s="59"/>
      <c r="O463" s="59"/>
      <c r="P463" s="59"/>
      <c r="Q463" s="59"/>
      <c r="R463" s="42"/>
      <c r="S463" s="44"/>
      <c r="T463" s="42"/>
      <c r="U463" s="42"/>
      <c r="V463" s="42"/>
      <c r="W463" s="42"/>
      <c r="X463" s="42"/>
      <c r="Y463" s="42"/>
    </row>
    <row r="464" ht="15.75" customHeight="1" spans="1:25" x14ac:dyDescent="0.25">
      <c r="A464" s="42"/>
      <c r="B464" s="42"/>
      <c r="C464" s="42"/>
      <c r="D464" s="42"/>
      <c r="E464" s="58"/>
      <c r="F464" s="43"/>
      <c r="G464" s="42"/>
      <c r="H464" s="42"/>
      <c r="I464" s="58"/>
      <c r="J464" s="59"/>
      <c r="K464" s="59"/>
      <c r="L464" s="59"/>
      <c r="M464" s="59"/>
      <c r="N464" s="59"/>
      <c r="O464" s="59"/>
      <c r="P464" s="59"/>
      <c r="Q464" s="59"/>
      <c r="R464" s="42"/>
      <c r="S464" s="44"/>
      <c r="T464" s="42"/>
      <c r="U464" s="42"/>
      <c r="V464" s="42"/>
      <c r="W464" s="42"/>
      <c r="X464" s="42"/>
      <c r="Y464" s="42"/>
    </row>
    <row r="465" ht="15.75" customHeight="1" spans="1:25" x14ac:dyDescent="0.25">
      <c r="A465" s="42"/>
      <c r="B465" s="42"/>
      <c r="C465" s="42"/>
      <c r="D465" s="42"/>
      <c r="E465" s="58"/>
      <c r="F465" s="43"/>
      <c r="G465" s="42"/>
      <c r="H465" s="42"/>
      <c r="I465" s="58"/>
      <c r="J465" s="59"/>
      <c r="K465" s="59"/>
      <c r="L465" s="59"/>
      <c r="M465" s="59"/>
      <c r="N465" s="59"/>
      <c r="O465" s="59"/>
      <c r="P465" s="59"/>
      <c r="Q465" s="59"/>
      <c r="R465" s="42"/>
      <c r="S465" s="44"/>
      <c r="T465" s="42"/>
      <c r="U465" s="42"/>
      <c r="V465" s="42"/>
      <c r="W465" s="42"/>
      <c r="X465" s="42"/>
      <c r="Y465" s="42"/>
    </row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6:I6"/>
    <mergeCell ref="A6:A7"/>
    <mergeCell ref="B6:B7"/>
    <mergeCell ref="C6:C7"/>
    <mergeCell ref="D6:D7"/>
    <mergeCell ref="E6:E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T6:T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 zoomScale="100" zoomScaleNormal="100">
      <pane xSplit="6" ySplit="4" topLeftCell="G5" activePane="bottomRight" state="frozen"/>
      <selection pane="bottomRight" activeCell="G5" sqref="G5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28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4" max="14" width="11.6640625" customWidth="1"/>
    <col min="15" max="15" width="10.21875" customWidth="1"/>
    <col min="16" max="16" width="11.33203125" customWidth="1"/>
    <col min="17" max="17" width="10.44140625" customWidth="1"/>
    <col min="18" max="18" width="9.109375" customWidth="1"/>
  </cols>
  <sheetData>
    <row r="1" ht="15.75" customHeight="1" spans="1:25" x14ac:dyDescent="0.25">
      <c r="A1" s="42"/>
      <c r="B1" s="42"/>
      <c r="C1" s="42"/>
      <c r="D1" s="42"/>
      <c r="E1" s="58"/>
      <c r="F1" s="43"/>
      <c r="G1" s="42"/>
      <c r="H1" s="42"/>
      <c r="I1" s="58"/>
      <c r="J1" s="59"/>
      <c r="K1" s="59"/>
      <c r="L1" s="59"/>
      <c r="M1" s="59"/>
      <c r="N1" s="59"/>
      <c r="O1" s="59"/>
      <c r="P1" s="59"/>
      <c r="Q1" s="59"/>
      <c r="R1" s="42"/>
      <c r="S1" s="44"/>
      <c r="T1" s="42"/>
      <c r="U1" s="42"/>
      <c r="V1" s="42"/>
      <c r="W1" s="42"/>
      <c r="X1" s="42"/>
      <c r="Y1" s="42"/>
    </row>
    <row r="2" ht="15.75" customHeight="1" spans="1:25" x14ac:dyDescent="0.25">
      <c r="A2" s="45"/>
      <c r="B2" s="45"/>
      <c r="C2" s="45"/>
      <c r="D2" s="45"/>
      <c r="E2" s="60"/>
      <c r="F2" s="46"/>
      <c r="G2" s="45"/>
      <c r="H2" s="45"/>
      <c r="I2" s="60"/>
      <c r="J2" s="61"/>
      <c r="K2" s="61"/>
      <c r="L2" s="61"/>
      <c r="M2" s="61"/>
      <c r="N2" s="61"/>
      <c r="O2" s="61"/>
      <c r="P2" s="61"/>
      <c r="Q2" s="61"/>
      <c r="R2" s="45"/>
      <c r="S2" s="47"/>
      <c r="T2" s="45"/>
      <c r="U2" s="42"/>
      <c r="V2" s="42"/>
      <c r="W2" s="42"/>
      <c r="X2" s="42"/>
      <c r="Y2" s="42"/>
    </row>
    <row r="3" ht="15.75" customHeight="1" spans="1:25" x14ac:dyDescent="0.25">
      <c r="A3" s="49" t="s">
        <v>0</v>
      </c>
      <c r="B3" s="49" t="s">
        <v>1</v>
      </c>
      <c r="C3" s="49" t="s">
        <v>2</v>
      </c>
      <c r="D3" s="49" t="s">
        <v>3</v>
      </c>
      <c r="E3" s="62" t="s">
        <v>4</v>
      </c>
      <c r="F3" s="50"/>
      <c r="G3" s="51" t="s">
        <v>5</v>
      </c>
      <c r="H3" s="6"/>
      <c r="I3" s="7"/>
      <c r="J3" s="63" t="s">
        <v>6</v>
      </c>
      <c r="K3" s="63" t="s">
        <v>7</v>
      </c>
      <c r="L3" s="63" t="s">
        <v>8</v>
      </c>
      <c r="M3" s="63" t="s">
        <v>9</v>
      </c>
      <c r="N3" s="63" t="s">
        <v>10</v>
      </c>
      <c r="O3" s="63" t="s">
        <v>11</v>
      </c>
      <c r="P3" s="63" t="s">
        <v>12</v>
      </c>
      <c r="Q3" s="63" t="s">
        <v>13</v>
      </c>
      <c r="R3" s="49" t="s">
        <v>387</v>
      </c>
      <c r="S3" s="36"/>
      <c r="T3" s="49" t="s">
        <v>15</v>
      </c>
      <c r="U3" s="42"/>
      <c r="V3" s="42"/>
      <c r="W3" s="42"/>
      <c r="X3" s="42"/>
      <c r="Y3" s="42"/>
    </row>
    <row r="4" ht="15.75" customHeight="1" spans="1:25" x14ac:dyDescent="0.25">
      <c r="A4" s="9"/>
      <c r="B4" s="9"/>
      <c r="C4" s="9"/>
      <c r="D4" s="9"/>
      <c r="E4" s="9"/>
      <c r="F4" s="50"/>
      <c r="G4" s="52" t="s">
        <v>16</v>
      </c>
      <c r="H4" s="52" t="s">
        <v>17</v>
      </c>
      <c r="I4" s="64" t="s">
        <v>18</v>
      </c>
      <c r="J4" s="9"/>
      <c r="K4" s="9"/>
      <c r="L4" s="9"/>
      <c r="M4" s="9"/>
      <c r="N4" s="9"/>
      <c r="O4" s="9"/>
      <c r="P4" s="9"/>
      <c r="Q4" s="9"/>
      <c r="R4" s="9"/>
      <c r="S4" s="36"/>
      <c r="T4" s="9"/>
      <c r="U4" s="42"/>
      <c r="V4" s="42"/>
      <c r="W4" s="42"/>
      <c r="X4" s="42"/>
      <c r="Y4" s="42"/>
    </row>
    <row r="5" ht="15.75" customHeight="1" spans="1:25" x14ac:dyDescent="0.25">
      <c r="A5" s="25" t="s">
        <v>627</v>
      </c>
      <c r="B5" s="25"/>
      <c r="C5" s="25" t="s">
        <v>51</v>
      </c>
      <c r="D5" s="25"/>
      <c r="E5" s="65"/>
      <c r="F5" s="50"/>
      <c r="G5" s="25"/>
      <c r="H5" s="25"/>
      <c r="I5" s="53"/>
      <c r="J5" s="66"/>
      <c r="K5" s="66"/>
      <c r="L5" s="66"/>
      <c r="M5" s="66"/>
      <c r="N5" s="66"/>
      <c r="O5" s="66"/>
      <c r="P5" s="66"/>
      <c r="Q5" s="66"/>
      <c r="R5" s="25" t="s">
        <v>206</v>
      </c>
      <c r="S5" s="36"/>
      <c r="T5" s="53">
        <v>-17834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550</v>
      </c>
      <c r="C6" s="25" t="s">
        <v>628</v>
      </c>
      <c r="D6" s="25" t="s">
        <v>525</v>
      </c>
      <c r="E6" s="53">
        <v>850</v>
      </c>
      <c r="F6" s="50"/>
      <c r="G6" s="35"/>
      <c r="H6" s="35"/>
      <c r="I6" s="53"/>
      <c r="J6" s="66"/>
      <c r="K6" s="66"/>
      <c r="L6" s="66"/>
      <c r="M6" s="66"/>
      <c r="N6" s="66"/>
      <c r="O6" s="66"/>
      <c r="P6" s="66"/>
      <c r="Q6" s="66"/>
      <c r="R6" s="25"/>
      <c r="S6" s="36"/>
      <c r="T6" s="53">
        <f t="shared" ref="T6:T8" si="0">T5-E6</f>
        <v>-18684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551</v>
      </c>
      <c r="C7" s="25" t="s">
        <v>629</v>
      </c>
      <c r="D7" s="25" t="s">
        <v>525</v>
      </c>
      <c r="E7" s="53">
        <v>256</v>
      </c>
      <c r="F7" s="50"/>
      <c r="G7" s="35"/>
      <c r="H7" s="35"/>
      <c r="I7" s="53"/>
      <c r="J7" s="66"/>
      <c r="K7" s="66"/>
      <c r="L7" s="66"/>
      <c r="M7" s="66"/>
      <c r="N7" s="66"/>
      <c r="O7" s="66"/>
      <c r="P7" s="66"/>
      <c r="Q7" s="66"/>
      <c r="R7" s="25"/>
      <c r="S7" s="36"/>
      <c r="T7" s="53">
        <f t="shared" si="0"/>
        <v>-18940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552</v>
      </c>
      <c r="C8" s="25" t="s">
        <v>630</v>
      </c>
      <c r="D8" s="25" t="s">
        <v>263</v>
      </c>
      <c r="E8" s="53">
        <v>6600</v>
      </c>
      <c r="F8" s="50"/>
      <c r="G8" s="35">
        <v>66</v>
      </c>
      <c r="H8" s="35">
        <v>100</v>
      </c>
      <c r="I8" s="53">
        <v>6600</v>
      </c>
      <c r="J8" s="66"/>
      <c r="K8" s="66"/>
      <c r="L8" s="66"/>
      <c r="M8" s="66"/>
      <c r="N8" s="66"/>
      <c r="O8" s="66"/>
      <c r="P8" s="66"/>
      <c r="Q8" s="66"/>
      <c r="R8" s="25"/>
      <c r="S8" s="36"/>
      <c r="T8" s="53">
        <f t="shared" si="0"/>
        <v>-25540</v>
      </c>
      <c r="U8" s="42"/>
      <c r="V8" s="42"/>
      <c r="W8" s="42"/>
      <c r="X8" s="42"/>
      <c r="Y8" s="42"/>
    </row>
    <row r="9" ht="15.75" customHeight="1" spans="1:25" x14ac:dyDescent="0.25">
      <c r="A9" s="25" t="s">
        <v>631</v>
      </c>
      <c r="B9" s="35"/>
      <c r="C9" s="25" t="s">
        <v>632</v>
      </c>
      <c r="D9" s="25"/>
      <c r="E9" s="53"/>
      <c r="F9" s="68">
        <v>60000</v>
      </c>
      <c r="G9" s="25"/>
      <c r="H9" s="35"/>
      <c r="I9" s="53"/>
      <c r="J9" s="66"/>
      <c r="K9" s="66"/>
      <c r="L9" s="66"/>
      <c r="M9" s="67"/>
      <c r="N9" s="66"/>
      <c r="O9" s="66"/>
      <c r="P9" s="66"/>
      <c r="Q9" s="66"/>
      <c r="R9" s="25"/>
      <c r="S9" s="36"/>
      <c r="T9" s="53">
        <f>T8-E9+60000</f>
        <v>34460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0">
        <v>553</v>
      </c>
      <c r="C10" s="25" t="s">
        <v>630</v>
      </c>
      <c r="D10" s="25" t="s">
        <v>54</v>
      </c>
      <c r="E10" s="53">
        <v>4700</v>
      </c>
      <c r="F10" s="50"/>
      <c r="G10" s="35">
        <v>47</v>
      </c>
      <c r="H10" s="25">
        <v>100</v>
      </c>
      <c r="I10" s="53">
        <v>4700</v>
      </c>
      <c r="J10" s="66"/>
      <c r="K10" s="66"/>
      <c r="L10" s="66"/>
      <c r="M10" s="66"/>
      <c r="N10" s="66"/>
      <c r="O10" s="66"/>
      <c r="P10" s="67"/>
      <c r="Q10" s="66"/>
      <c r="R10" s="25"/>
      <c r="S10" s="36"/>
      <c r="T10" s="53">
        <f t="shared" ref="T10:T19" si="1">T9-E10</f>
        <v>29760</v>
      </c>
      <c r="U10" s="42"/>
      <c r="V10" s="42"/>
      <c r="W10" s="42"/>
      <c r="X10" s="42"/>
      <c r="Y10" s="42"/>
    </row>
    <row r="11" ht="15.75" customHeight="1" spans="1:25" x14ac:dyDescent="0.25">
      <c r="A11" s="25" t="s">
        <v>633</v>
      </c>
      <c r="B11" s="35">
        <v>554</v>
      </c>
      <c r="C11" s="25" t="s">
        <v>630</v>
      </c>
      <c r="D11" s="25" t="s">
        <v>54</v>
      </c>
      <c r="E11" s="53">
        <v>5800</v>
      </c>
      <c r="F11" s="50"/>
      <c r="G11" s="35">
        <v>58</v>
      </c>
      <c r="H11" s="35">
        <v>100</v>
      </c>
      <c r="I11" s="53">
        <v>5800</v>
      </c>
      <c r="J11" s="66"/>
      <c r="K11" s="66"/>
      <c r="L11" s="66"/>
      <c r="M11" s="66"/>
      <c r="N11" s="66"/>
      <c r="O11" s="66"/>
      <c r="P11" s="66"/>
      <c r="Q11" s="66"/>
      <c r="R11" s="25"/>
      <c r="S11" s="36"/>
      <c r="T11" s="53">
        <f t="shared" si="1"/>
        <v>23960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555</v>
      </c>
      <c r="C12" s="25" t="s">
        <v>634</v>
      </c>
      <c r="D12" s="25" t="s">
        <v>54</v>
      </c>
      <c r="E12" s="53">
        <v>2000</v>
      </c>
      <c r="F12" s="50"/>
      <c r="G12" s="35">
        <v>20</v>
      </c>
      <c r="H12" s="35">
        <v>100</v>
      </c>
      <c r="I12" s="53">
        <v>2000</v>
      </c>
      <c r="J12" s="66"/>
      <c r="K12" s="66"/>
      <c r="L12" s="66"/>
      <c r="M12" s="66"/>
      <c r="N12" s="66"/>
      <c r="O12" s="66"/>
      <c r="P12" s="66"/>
      <c r="Q12" s="66"/>
      <c r="R12" s="25"/>
      <c r="S12" s="36"/>
      <c r="T12" s="53">
        <f t="shared" si="1"/>
        <v>21960</v>
      </c>
      <c r="U12" s="42"/>
      <c r="V12" s="42"/>
      <c r="W12" s="42"/>
      <c r="X12" s="42"/>
      <c r="Y12" s="42"/>
    </row>
    <row r="13" ht="15.75" customHeight="1" spans="1:25" x14ac:dyDescent="0.25">
      <c r="A13" s="25" t="s">
        <v>635</v>
      </c>
      <c r="B13" s="35">
        <v>556</v>
      </c>
      <c r="C13" s="25" t="s">
        <v>13</v>
      </c>
      <c r="D13" s="25" t="s">
        <v>636</v>
      </c>
      <c r="E13" s="53">
        <v>2500</v>
      </c>
      <c r="F13" s="50"/>
      <c r="G13" s="25"/>
      <c r="H13" s="25"/>
      <c r="I13" s="53"/>
      <c r="J13" s="66"/>
      <c r="K13" s="66"/>
      <c r="L13" s="67"/>
      <c r="M13" s="66"/>
      <c r="N13" s="66"/>
      <c r="O13" s="66"/>
      <c r="P13" s="66"/>
      <c r="Q13" s="66"/>
      <c r="R13" s="25"/>
      <c r="S13" s="36"/>
      <c r="T13" s="53">
        <f t="shared" si="1"/>
        <v>19460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5">
        <v>557</v>
      </c>
      <c r="C14" s="25" t="s">
        <v>637</v>
      </c>
      <c r="D14" s="25"/>
      <c r="E14" s="53">
        <v>380</v>
      </c>
      <c r="F14" s="50"/>
      <c r="G14" s="35"/>
      <c r="H14" s="35"/>
      <c r="I14" s="53"/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1"/>
        <v>19080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558</v>
      </c>
      <c r="C15" s="25" t="s">
        <v>638</v>
      </c>
      <c r="D15" s="25"/>
      <c r="E15" s="53">
        <v>100</v>
      </c>
      <c r="F15" s="50"/>
      <c r="G15" s="35"/>
      <c r="H15" s="35"/>
      <c r="I15" s="53"/>
      <c r="J15" s="66"/>
      <c r="K15" s="66"/>
      <c r="L15" s="66"/>
      <c r="M15" s="66"/>
      <c r="N15" s="66"/>
      <c r="O15" s="66"/>
      <c r="P15" s="66"/>
      <c r="Q15" s="66"/>
      <c r="R15" s="25"/>
      <c r="S15" s="36"/>
      <c r="T15" s="53">
        <f t="shared" si="1"/>
        <v>18980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559</v>
      </c>
      <c r="C16" s="25" t="s">
        <v>630</v>
      </c>
      <c r="D16" s="25" t="s">
        <v>54</v>
      </c>
      <c r="E16" s="53">
        <v>13600</v>
      </c>
      <c r="F16" s="50"/>
      <c r="G16" s="35">
        <v>136</v>
      </c>
      <c r="H16" s="35">
        <v>100</v>
      </c>
      <c r="I16" s="53">
        <v>13600</v>
      </c>
      <c r="J16" s="66"/>
      <c r="K16" s="66"/>
      <c r="L16" s="66"/>
      <c r="M16" s="66"/>
      <c r="N16" s="66"/>
      <c r="O16" s="66"/>
      <c r="P16" s="66"/>
      <c r="Q16" s="66"/>
      <c r="R16" s="25"/>
      <c r="S16" s="36"/>
      <c r="T16" s="53">
        <f t="shared" si="1"/>
        <v>5380</v>
      </c>
      <c r="U16" s="42"/>
      <c r="V16" s="42"/>
      <c r="W16" s="42"/>
      <c r="X16" s="42"/>
      <c r="Y16" s="42"/>
    </row>
    <row r="17" ht="15.75" customHeight="1" spans="1:25" x14ac:dyDescent="0.25">
      <c r="A17" s="25"/>
      <c r="B17" s="35">
        <v>560</v>
      </c>
      <c r="C17" s="25" t="s">
        <v>634</v>
      </c>
      <c r="D17" s="25" t="s">
        <v>54</v>
      </c>
      <c r="E17" s="53">
        <v>2200</v>
      </c>
      <c r="F17" s="50"/>
      <c r="G17" s="35">
        <v>22</v>
      </c>
      <c r="H17" s="25">
        <v>100</v>
      </c>
      <c r="I17" s="53">
        <v>2200</v>
      </c>
      <c r="J17" s="66"/>
      <c r="K17" s="66"/>
      <c r="L17" s="66"/>
      <c r="M17" s="66"/>
      <c r="N17" s="66"/>
      <c r="O17" s="66"/>
      <c r="P17" s="66"/>
      <c r="Q17" s="67"/>
      <c r="R17" s="25"/>
      <c r="S17" s="36"/>
      <c r="T17" s="53">
        <f t="shared" si="1"/>
        <v>3180</v>
      </c>
      <c r="U17" s="42"/>
      <c r="V17" s="42"/>
      <c r="W17" s="42"/>
      <c r="X17" s="42"/>
      <c r="Y17" s="42"/>
    </row>
    <row r="18" ht="15.75" customHeight="1" spans="1:25" x14ac:dyDescent="0.25">
      <c r="A18" s="25" t="s">
        <v>639</v>
      </c>
      <c r="B18" s="35">
        <v>561</v>
      </c>
      <c r="C18" s="25" t="s">
        <v>634</v>
      </c>
      <c r="D18" s="25" t="s">
        <v>251</v>
      </c>
      <c r="E18" s="53">
        <v>3000</v>
      </c>
      <c r="F18" s="50"/>
      <c r="G18" s="35">
        <v>30</v>
      </c>
      <c r="H18" s="35">
        <v>100</v>
      </c>
      <c r="I18" s="53">
        <v>3000</v>
      </c>
      <c r="J18" s="66"/>
      <c r="K18" s="66"/>
      <c r="L18" s="66"/>
      <c r="M18" s="66"/>
      <c r="N18" s="66"/>
      <c r="O18" s="66"/>
      <c r="P18" s="67"/>
      <c r="Q18" s="66"/>
      <c r="R18" s="25"/>
      <c r="S18" s="36"/>
      <c r="T18" s="53">
        <f t="shared" si="1"/>
        <v>180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562</v>
      </c>
      <c r="C19" s="25" t="s">
        <v>634</v>
      </c>
      <c r="D19" s="25" t="s">
        <v>420</v>
      </c>
      <c r="E19" s="53">
        <v>900</v>
      </c>
      <c r="F19" s="50"/>
      <c r="G19" s="35">
        <v>9</v>
      </c>
      <c r="H19" s="35">
        <v>100</v>
      </c>
      <c r="I19" s="53">
        <v>900</v>
      </c>
      <c r="J19" s="66"/>
      <c r="K19" s="66"/>
      <c r="L19" s="66"/>
      <c r="M19" s="66"/>
      <c r="N19" s="66"/>
      <c r="O19" s="66"/>
      <c r="P19" s="67"/>
      <c r="Q19" s="66"/>
      <c r="R19" s="25"/>
      <c r="S19" s="36"/>
      <c r="T19" s="53">
        <f t="shared" si="1"/>
        <v>-720</v>
      </c>
      <c r="U19" s="42"/>
      <c r="V19" s="42"/>
      <c r="W19" s="42"/>
      <c r="X19" s="42"/>
      <c r="Y19" s="42"/>
    </row>
    <row r="20" ht="15.75" customHeight="1" spans="1:25" x14ac:dyDescent="0.25">
      <c r="A20" s="25" t="s">
        <v>640</v>
      </c>
      <c r="B20" s="25"/>
      <c r="C20" s="25" t="s">
        <v>641</v>
      </c>
      <c r="D20" s="25"/>
      <c r="E20" s="53"/>
      <c r="F20" s="68">
        <v>100000</v>
      </c>
      <c r="G20" s="25"/>
      <c r="H20" s="25"/>
      <c r="I20" s="53"/>
      <c r="J20" s="66"/>
      <c r="K20" s="66"/>
      <c r="L20" s="66"/>
      <c r="M20" s="66"/>
      <c r="N20" s="66"/>
      <c r="O20" s="66"/>
      <c r="P20" s="66"/>
      <c r="Q20" s="66"/>
      <c r="R20" s="25"/>
      <c r="S20" s="36"/>
      <c r="T20" s="53">
        <f>T19-E20+100000</f>
        <v>99280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563</v>
      </c>
      <c r="C21" s="25" t="s">
        <v>642</v>
      </c>
      <c r="D21" s="25" t="s">
        <v>643</v>
      </c>
      <c r="E21" s="53">
        <v>3000</v>
      </c>
      <c r="F21" s="50"/>
      <c r="G21" s="35"/>
      <c r="H21" s="35"/>
      <c r="I21" s="53"/>
      <c r="J21" s="66"/>
      <c r="K21" s="66">
        <v>3000</v>
      </c>
      <c r="L21" s="66"/>
      <c r="M21" s="66"/>
      <c r="N21" s="66"/>
      <c r="O21" s="66"/>
      <c r="P21" s="66"/>
      <c r="Q21" s="66"/>
      <c r="R21" s="25"/>
      <c r="S21" s="36"/>
      <c r="T21" s="53">
        <f t="shared" ref="T21:T55" si="2">T20-E21</f>
        <v>96280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564</v>
      </c>
      <c r="C22" s="25" t="s">
        <v>644</v>
      </c>
      <c r="D22" s="25" t="s">
        <v>67</v>
      </c>
      <c r="E22" s="53">
        <v>1900</v>
      </c>
      <c r="F22" s="50"/>
      <c r="G22" s="35"/>
      <c r="H22" s="35"/>
      <c r="I22" s="53"/>
      <c r="J22" s="66"/>
      <c r="K22" s="67"/>
      <c r="L22" s="66"/>
      <c r="M22" s="66"/>
      <c r="N22" s="66"/>
      <c r="O22" s="66"/>
      <c r="P22" s="66">
        <v>1900</v>
      </c>
      <c r="Q22" s="66"/>
      <c r="R22" s="25"/>
      <c r="S22" s="36"/>
      <c r="T22" s="53">
        <f t="shared" si="2"/>
        <v>94380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565</v>
      </c>
      <c r="C23" s="25" t="s">
        <v>645</v>
      </c>
      <c r="D23" s="25" t="s">
        <v>572</v>
      </c>
      <c r="E23" s="53">
        <v>2500</v>
      </c>
      <c r="F23" s="50"/>
      <c r="G23" s="25"/>
      <c r="H23" s="25"/>
      <c r="I23" s="53"/>
      <c r="J23" s="66"/>
      <c r="K23" s="66"/>
      <c r="L23" s="66"/>
      <c r="M23" s="66"/>
      <c r="N23" s="66">
        <v>2500</v>
      </c>
      <c r="O23" s="66"/>
      <c r="P23" s="66"/>
      <c r="Q23" s="66"/>
      <c r="R23" s="25"/>
      <c r="S23" s="36"/>
      <c r="T23" s="53">
        <f t="shared" si="2"/>
        <v>91880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5">
        <v>566</v>
      </c>
      <c r="C24" s="23" t="s">
        <v>646</v>
      </c>
      <c r="D24" s="25" t="s">
        <v>647</v>
      </c>
      <c r="E24" s="53">
        <v>775</v>
      </c>
      <c r="F24" s="50"/>
      <c r="G24" s="25"/>
      <c r="H24" s="25"/>
      <c r="I24" s="53"/>
      <c r="J24" s="66"/>
      <c r="K24" s="66"/>
      <c r="L24" s="66"/>
      <c r="M24" s="66"/>
      <c r="N24" s="66">
        <v>775</v>
      </c>
      <c r="O24" s="66"/>
      <c r="P24" s="66"/>
      <c r="Q24" s="66"/>
      <c r="R24" s="25"/>
      <c r="S24" s="36"/>
      <c r="T24" s="53">
        <f t="shared" si="2"/>
        <v>91105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567</v>
      </c>
      <c r="C25" s="23" t="s">
        <v>203</v>
      </c>
      <c r="D25" s="25" t="s">
        <v>295</v>
      </c>
      <c r="E25" s="53">
        <v>960</v>
      </c>
      <c r="F25" s="50"/>
      <c r="G25" s="25"/>
      <c r="H25" s="25"/>
      <c r="I25" s="53"/>
      <c r="J25" s="66"/>
      <c r="K25" s="67"/>
      <c r="L25" s="66"/>
      <c r="M25" s="66"/>
      <c r="N25" s="66"/>
      <c r="O25" s="66"/>
      <c r="P25" s="66"/>
      <c r="Q25" s="66"/>
      <c r="R25" s="25">
        <v>960</v>
      </c>
      <c r="S25" s="36"/>
      <c r="T25" s="53">
        <f t="shared" si="2"/>
        <v>90145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568</v>
      </c>
      <c r="C26" s="25" t="s">
        <v>249</v>
      </c>
      <c r="D26" s="23" t="s">
        <v>476</v>
      </c>
      <c r="E26" s="54">
        <v>430</v>
      </c>
      <c r="F26" s="50"/>
      <c r="G26" s="25"/>
      <c r="H26" s="25"/>
      <c r="I26" s="53"/>
      <c r="J26" s="66"/>
      <c r="K26" s="67"/>
      <c r="L26" s="66">
        <v>430</v>
      </c>
      <c r="M26" s="66"/>
      <c r="N26" s="66"/>
      <c r="O26" s="66"/>
      <c r="P26" s="66"/>
      <c r="Q26" s="66"/>
      <c r="R26" s="25"/>
      <c r="S26" s="36"/>
      <c r="T26" s="53">
        <f t="shared" si="2"/>
        <v>89715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569</v>
      </c>
      <c r="C27" s="25" t="s">
        <v>648</v>
      </c>
      <c r="D27" s="23" t="s">
        <v>649</v>
      </c>
      <c r="E27" s="54">
        <v>807</v>
      </c>
      <c r="F27" s="50"/>
      <c r="G27" s="25"/>
      <c r="H27" s="25"/>
      <c r="I27" s="53"/>
      <c r="J27" s="66"/>
      <c r="K27" s="67"/>
      <c r="L27" s="66">
        <v>807</v>
      </c>
      <c r="M27" s="66"/>
      <c r="N27" s="66"/>
      <c r="O27" s="66"/>
      <c r="P27" s="66"/>
      <c r="Q27" s="66"/>
      <c r="R27" s="25"/>
      <c r="S27" s="36"/>
      <c r="T27" s="53">
        <f t="shared" si="2"/>
        <v>88908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570</v>
      </c>
      <c r="C28" s="23" t="s">
        <v>630</v>
      </c>
      <c r="D28" s="25" t="s">
        <v>54</v>
      </c>
      <c r="E28" s="53">
        <v>10800</v>
      </c>
      <c r="F28" s="50"/>
      <c r="G28" s="35">
        <v>108</v>
      </c>
      <c r="H28" s="35">
        <v>100</v>
      </c>
      <c r="I28" s="53">
        <v>10800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2"/>
        <v>78108</v>
      </c>
      <c r="U28" s="42"/>
      <c r="V28" s="42"/>
      <c r="W28" s="42"/>
      <c r="X28" s="42"/>
      <c r="Y28" s="42"/>
    </row>
    <row r="29" ht="15.75" customHeight="1" spans="1:25" x14ac:dyDescent="0.25">
      <c r="A29" s="25" t="s">
        <v>650</v>
      </c>
      <c r="B29" s="35">
        <v>571</v>
      </c>
      <c r="C29" s="23" t="s">
        <v>651</v>
      </c>
      <c r="D29" s="25"/>
      <c r="E29" s="53">
        <v>120</v>
      </c>
      <c r="F29" s="50"/>
      <c r="G29" s="25"/>
      <c r="H29" s="25"/>
      <c r="I29" s="53"/>
      <c r="J29" s="66"/>
      <c r="K29" s="67"/>
      <c r="L29" s="66"/>
      <c r="M29" s="66"/>
      <c r="N29" s="66"/>
      <c r="O29" s="66"/>
      <c r="P29" s="66">
        <v>120</v>
      </c>
      <c r="Q29" s="66"/>
      <c r="R29" s="25"/>
      <c r="S29" s="36"/>
      <c r="T29" s="53">
        <f t="shared" si="2"/>
        <v>77988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572</v>
      </c>
      <c r="C30" s="15" t="s">
        <v>652</v>
      </c>
      <c r="D30" s="23"/>
      <c r="E30" s="54">
        <v>474</v>
      </c>
      <c r="F30" s="50"/>
      <c r="G30" s="25"/>
      <c r="H30" s="25"/>
      <c r="I30" s="53"/>
      <c r="J30" s="66"/>
      <c r="K30" s="67"/>
      <c r="L30" s="66"/>
      <c r="M30" s="66"/>
      <c r="N30" s="66"/>
      <c r="O30" s="66"/>
      <c r="P30" s="66">
        <v>474</v>
      </c>
      <c r="Q30" s="66"/>
      <c r="R30" s="25"/>
      <c r="S30" s="36"/>
      <c r="T30" s="53">
        <f t="shared" si="2"/>
        <v>77514</v>
      </c>
      <c r="U30" s="42"/>
      <c r="V30" s="42"/>
      <c r="W30" s="42"/>
      <c r="X30" s="42"/>
      <c r="Y30" s="42"/>
    </row>
    <row r="31" ht="15.75" customHeight="1" spans="1:25" x14ac:dyDescent="0.25">
      <c r="A31" s="25"/>
      <c r="B31" s="35">
        <v>573</v>
      </c>
      <c r="C31" s="23" t="s">
        <v>653</v>
      </c>
      <c r="D31" s="23"/>
      <c r="E31" s="54">
        <v>410</v>
      </c>
      <c r="F31" s="50"/>
      <c r="G31" s="25"/>
      <c r="H31" s="25"/>
      <c r="I31" s="53"/>
      <c r="J31" s="66"/>
      <c r="K31" s="67"/>
      <c r="L31" s="66"/>
      <c r="M31" s="66"/>
      <c r="N31" s="66"/>
      <c r="O31" s="66"/>
      <c r="P31" s="66">
        <v>410</v>
      </c>
      <c r="Q31" s="66"/>
      <c r="R31" s="25"/>
      <c r="S31" s="36"/>
      <c r="T31" s="53">
        <f t="shared" si="2"/>
        <v>77104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574</v>
      </c>
      <c r="C32" s="23" t="s">
        <v>654</v>
      </c>
      <c r="D32" s="25"/>
      <c r="E32" s="53">
        <v>600</v>
      </c>
      <c r="F32" s="50"/>
      <c r="G32" s="35"/>
      <c r="H32" s="35"/>
      <c r="I32" s="53"/>
      <c r="J32" s="66"/>
      <c r="K32" s="66"/>
      <c r="L32" s="66"/>
      <c r="M32" s="66"/>
      <c r="N32" s="66"/>
      <c r="O32" s="66"/>
      <c r="P32" s="66">
        <v>600</v>
      </c>
      <c r="Q32" s="66"/>
      <c r="R32" s="25"/>
      <c r="S32" s="36"/>
      <c r="T32" s="53">
        <f t="shared" si="2"/>
        <v>76504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575</v>
      </c>
      <c r="C33" s="23" t="s">
        <v>655</v>
      </c>
      <c r="D33" s="25" t="s">
        <v>656</v>
      </c>
      <c r="E33" s="53">
        <v>1800</v>
      </c>
      <c r="F33" s="50"/>
      <c r="G33" s="35"/>
      <c r="H33" s="35"/>
      <c r="I33" s="53"/>
      <c r="J33" s="66"/>
      <c r="K33" s="66">
        <v>1800</v>
      </c>
      <c r="L33" s="66"/>
      <c r="M33" s="66"/>
      <c r="N33" s="66"/>
      <c r="O33" s="66"/>
      <c r="P33" s="66"/>
      <c r="Q33" s="66"/>
      <c r="R33" s="25"/>
      <c r="S33" s="36"/>
      <c r="T33" s="53">
        <f t="shared" si="2"/>
        <v>74704</v>
      </c>
      <c r="U33" s="42"/>
      <c r="V33" s="42"/>
      <c r="W33" s="42"/>
      <c r="X33" s="42"/>
      <c r="Y33" s="42"/>
    </row>
    <row r="34" ht="15.75" customHeight="1" spans="1:25" x14ac:dyDescent="0.25">
      <c r="A34" s="25"/>
      <c r="B34" s="35">
        <v>576</v>
      </c>
      <c r="C34" s="25" t="s">
        <v>657</v>
      </c>
      <c r="D34" s="23"/>
      <c r="E34" s="53">
        <v>474</v>
      </c>
      <c r="F34" s="50"/>
      <c r="G34" s="35"/>
      <c r="H34" s="35"/>
      <c r="I34" s="53"/>
      <c r="J34" s="66"/>
      <c r="K34" s="66"/>
      <c r="L34" s="66"/>
      <c r="M34" s="66"/>
      <c r="N34" s="66"/>
      <c r="O34" s="66"/>
      <c r="P34" s="66">
        <v>474</v>
      </c>
      <c r="Q34" s="66"/>
      <c r="R34" s="25"/>
      <c r="S34" s="36"/>
      <c r="T34" s="53">
        <f t="shared" si="2"/>
        <v>74230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577</v>
      </c>
      <c r="C35" s="25" t="s">
        <v>658</v>
      </c>
      <c r="D35" s="25"/>
      <c r="E35" s="53">
        <v>2500</v>
      </c>
      <c r="F35" s="50"/>
      <c r="G35" s="35"/>
      <c r="H35" s="35"/>
      <c r="I35" s="53"/>
      <c r="J35" s="66"/>
      <c r="K35" s="66">
        <v>2500</v>
      </c>
      <c r="L35" s="66"/>
      <c r="M35" s="66"/>
      <c r="N35" s="66"/>
      <c r="O35" s="66"/>
      <c r="P35" s="66"/>
      <c r="Q35" s="67"/>
      <c r="R35" s="25"/>
      <c r="S35" s="36"/>
      <c r="T35" s="53">
        <f t="shared" si="2"/>
        <v>71730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578</v>
      </c>
      <c r="C36" s="25" t="s">
        <v>659</v>
      </c>
      <c r="D36" s="23" t="s">
        <v>643</v>
      </c>
      <c r="E36" s="54">
        <v>3000</v>
      </c>
      <c r="F36" s="50"/>
      <c r="G36" s="35"/>
      <c r="H36" s="35"/>
      <c r="I36" s="53"/>
      <c r="J36" s="66"/>
      <c r="K36" s="66">
        <v>3000</v>
      </c>
      <c r="L36" s="66"/>
      <c r="M36" s="66"/>
      <c r="N36" s="66"/>
      <c r="O36" s="66"/>
      <c r="P36" s="67"/>
      <c r="Q36" s="66"/>
      <c r="R36" s="25"/>
      <c r="S36" s="36"/>
      <c r="T36" s="53">
        <f t="shared" si="2"/>
        <v>68730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579</v>
      </c>
      <c r="C37" s="23" t="s">
        <v>660</v>
      </c>
      <c r="D37" s="23" t="s">
        <v>261</v>
      </c>
      <c r="E37" s="54">
        <v>60</v>
      </c>
      <c r="F37" s="50"/>
      <c r="G37" s="35"/>
      <c r="H37" s="35"/>
      <c r="I37" s="53"/>
      <c r="J37" s="66"/>
      <c r="K37" s="66"/>
      <c r="L37" s="66"/>
      <c r="M37" s="66"/>
      <c r="N37" s="66">
        <v>60</v>
      </c>
      <c r="O37" s="66"/>
      <c r="P37" s="66"/>
      <c r="Q37" s="66"/>
      <c r="R37" s="25"/>
      <c r="S37" s="36"/>
      <c r="T37" s="53">
        <f t="shared" si="2"/>
        <v>68670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580</v>
      </c>
      <c r="C38" s="23" t="s">
        <v>661</v>
      </c>
      <c r="D38" s="25" t="s">
        <v>119</v>
      </c>
      <c r="E38" s="53">
        <v>500</v>
      </c>
      <c r="F38" s="50"/>
      <c r="G38" s="25"/>
      <c r="H38" s="25"/>
      <c r="I38" s="53"/>
      <c r="J38" s="66"/>
      <c r="K38" s="66"/>
      <c r="L38" s="66"/>
      <c r="M38" s="66">
        <v>500</v>
      </c>
      <c r="N38" s="66"/>
      <c r="O38" s="66"/>
      <c r="P38" s="66"/>
      <c r="Q38" s="66"/>
      <c r="R38" s="25"/>
      <c r="S38" s="36"/>
      <c r="T38" s="53">
        <f t="shared" si="2"/>
        <v>68170</v>
      </c>
      <c r="U38" s="42"/>
      <c r="V38" s="42"/>
      <c r="W38" s="42"/>
      <c r="X38" s="42"/>
      <c r="Y38" s="42"/>
    </row>
    <row r="39" ht="15.75" customHeight="1" spans="1:25" x14ac:dyDescent="0.25">
      <c r="A39" s="25" t="s">
        <v>662</v>
      </c>
      <c r="B39" s="35">
        <v>581</v>
      </c>
      <c r="C39" s="23" t="s">
        <v>663</v>
      </c>
      <c r="D39" s="25"/>
      <c r="E39" s="53">
        <v>120</v>
      </c>
      <c r="F39" s="50"/>
      <c r="G39" s="25"/>
      <c r="H39" s="35"/>
      <c r="I39" s="53"/>
      <c r="J39" s="66"/>
      <c r="K39" s="66"/>
      <c r="L39" s="66"/>
      <c r="M39" s="66"/>
      <c r="N39" s="66"/>
      <c r="O39" s="66"/>
      <c r="P39" s="66">
        <v>120</v>
      </c>
      <c r="Q39" s="66"/>
      <c r="R39" s="25"/>
      <c r="S39" s="36"/>
      <c r="T39" s="53">
        <f t="shared" si="2"/>
        <v>68050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582</v>
      </c>
      <c r="C40" s="23" t="s">
        <v>630</v>
      </c>
      <c r="D40" s="25" t="s">
        <v>54</v>
      </c>
      <c r="E40" s="53">
        <v>15900</v>
      </c>
      <c r="F40" s="50"/>
      <c r="G40" s="35">
        <v>159</v>
      </c>
      <c r="H40" s="35">
        <v>100</v>
      </c>
      <c r="I40" s="53">
        <v>15900</v>
      </c>
      <c r="J40" s="66"/>
      <c r="K40" s="66"/>
      <c r="L40" s="66"/>
      <c r="M40" s="66"/>
      <c r="N40" s="66"/>
      <c r="O40" s="66"/>
      <c r="P40" s="66"/>
      <c r="Q40" s="66"/>
      <c r="R40" s="25"/>
      <c r="S40" s="36"/>
      <c r="T40" s="53">
        <f t="shared" si="2"/>
        <v>52150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582</v>
      </c>
      <c r="C41" s="25" t="s">
        <v>98</v>
      </c>
      <c r="D41" s="25" t="s">
        <v>119</v>
      </c>
      <c r="E41" s="53">
        <v>500</v>
      </c>
      <c r="F41" s="50"/>
      <c r="G41" s="35"/>
      <c r="H41" s="35"/>
      <c r="I41" s="53"/>
      <c r="J41" s="66"/>
      <c r="K41" s="66"/>
      <c r="L41" s="66"/>
      <c r="M41" s="66">
        <v>500</v>
      </c>
      <c r="N41" s="66"/>
      <c r="O41" s="66"/>
      <c r="P41" s="66"/>
      <c r="Q41" s="66"/>
      <c r="R41" s="25"/>
      <c r="S41" s="36"/>
      <c r="T41" s="53">
        <f t="shared" si="2"/>
        <v>51650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583</v>
      </c>
      <c r="C42" s="25" t="s">
        <v>664</v>
      </c>
      <c r="D42" s="25" t="s">
        <v>665</v>
      </c>
      <c r="E42" s="53">
        <v>120</v>
      </c>
      <c r="F42" s="50"/>
      <c r="G42" s="35"/>
      <c r="H42" s="25"/>
      <c r="I42" s="65"/>
      <c r="J42" s="66"/>
      <c r="K42" s="66"/>
      <c r="L42" s="66"/>
      <c r="M42" s="66"/>
      <c r="N42" s="66"/>
      <c r="O42" s="66">
        <v>120</v>
      </c>
      <c r="P42" s="67"/>
      <c r="Q42" s="66"/>
      <c r="R42" s="25"/>
      <c r="S42" s="36"/>
      <c r="T42" s="53">
        <f t="shared" si="2"/>
        <v>51530</v>
      </c>
      <c r="U42" s="42"/>
      <c r="V42" s="42"/>
      <c r="W42" s="42"/>
      <c r="X42" s="42"/>
      <c r="Y42" s="42"/>
    </row>
    <row r="43" ht="15.75" customHeight="1" spans="1:25" x14ac:dyDescent="0.25">
      <c r="A43" s="25" t="s">
        <v>666</v>
      </c>
      <c r="B43" s="35">
        <v>584</v>
      </c>
      <c r="C43" s="25" t="s">
        <v>667</v>
      </c>
      <c r="D43" s="25" t="s">
        <v>118</v>
      </c>
      <c r="E43" s="53">
        <v>3000</v>
      </c>
      <c r="F43" s="50"/>
      <c r="G43" s="35"/>
      <c r="H43" s="25"/>
      <c r="I43" s="65"/>
      <c r="J43" s="66"/>
      <c r="K43" s="66"/>
      <c r="L43" s="66"/>
      <c r="M43" s="67"/>
      <c r="N43" s="66">
        <v>3000</v>
      </c>
      <c r="O43" s="66"/>
      <c r="P43" s="66"/>
      <c r="Q43" s="66"/>
      <c r="R43" s="25"/>
      <c r="S43" s="36"/>
      <c r="T43" s="53">
        <f t="shared" si="2"/>
        <v>48530</v>
      </c>
      <c r="U43" s="42"/>
      <c r="V43" s="42"/>
      <c r="W43" s="42"/>
      <c r="X43" s="42"/>
      <c r="Y43" s="42"/>
    </row>
    <row r="44" ht="15.75" customHeight="1" spans="1:25" x14ac:dyDescent="0.25">
      <c r="A44" s="25"/>
      <c r="B44" s="35">
        <v>585</v>
      </c>
      <c r="C44" s="25" t="s">
        <v>630</v>
      </c>
      <c r="D44" s="25" t="s">
        <v>69</v>
      </c>
      <c r="E44" s="53">
        <v>4100</v>
      </c>
      <c r="F44" s="50"/>
      <c r="G44" s="35">
        <v>41</v>
      </c>
      <c r="H44" s="25">
        <v>100</v>
      </c>
      <c r="I44" s="65">
        <v>4100</v>
      </c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 t="shared" si="2"/>
        <v>44430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586</v>
      </c>
      <c r="C45" s="25" t="s">
        <v>630</v>
      </c>
      <c r="D45" s="25" t="s">
        <v>54</v>
      </c>
      <c r="E45" s="53">
        <v>7700</v>
      </c>
      <c r="F45" s="50"/>
      <c r="G45" s="35">
        <v>77</v>
      </c>
      <c r="H45" s="25">
        <v>100</v>
      </c>
      <c r="I45" s="65">
        <v>7700</v>
      </c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si="2"/>
        <v>36730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587</v>
      </c>
      <c r="C46" s="25" t="s">
        <v>630</v>
      </c>
      <c r="D46" s="25" t="s">
        <v>200</v>
      </c>
      <c r="E46" s="53">
        <v>29900</v>
      </c>
      <c r="F46" s="50"/>
      <c r="G46" s="35">
        <v>299</v>
      </c>
      <c r="H46" s="25">
        <v>100</v>
      </c>
      <c r="I46" s="65">
        <v>29900</v>
      </c>
      <c r="J46" s="66"/>
      <c r="K46" s="66"/>
      <c r="L46" s="66"/>
      <c r="M46" s="66"/>
      <c r="N46" s="66"/>
      <c r="O46" s="66"/>
      <c r="P46" s="66"/>
      <c r="Q46" s="66"/>
      <c r="R46" s="25"/>
      <c r="S46" s="36"/>
      <c r="T46" s="53">
        <f t="shared" si="2"/>
        <v>6830</v>
      </c>
      <c r="U46" s="42"/>
      <c r="V46" s="42"/>
      <c r="W46" s="42"/>
      <c r="X46" s="42"/>
      <c r="Y46" s="42"/>
    </row>
    <row r="47" ht="15.75" customHeight="1" spans="1:25" x14ac:dyDescent="0.25">
      <c r="A47" s="25" t="s">
        <v>668</v>
      </c>
      <c r="B47" s="35">
        <v>588</v>
      </c>
      <c r="C47" s="25" t="s">
        <v>630</v>
      </c>
      <c r="D47" s="25" t="s">
        <v>669</v>
      </c>
      <c r="E47" s="53">
        <v>1800</v>
      </c>
      <c r="F47" s="50"/>
      <c r="G47" s="35">
        <v>18</v>
      </c>
      <c r="H47" s="25">
        <v>100</v>
      </c>
      <c r="I47" s="65">
        <v>1800</v>
      </c>
      <c r="J47" s="66"/>
      <c r="K47" s="66"/>
      <c r="L47" s="66"/>
      <c r="M47" s="66"/>
      <c r="N47" s="66"/>
      <c r="O47" s="66"/>
      <c r="P47" s="66"/>
      <c r="Q47" s="66"/>
      <c r="R47" s="25"/>
      <c r="S47" s="36"/>
      <c r="T47" s="53">
        <f t="shared" si="2"/>
        <v>5030</v>
      </c>
      <c r="U47" s="42"/>
      <c r="V47" s="42"/>
      <c r="W47" s="42"/>
      <c r="X47" s="42"/>
      <c r="Y47" s="42"/>
    </row>
    <row r="48" ht="15.75" customHeight="1" spans="1:25" x14ac:dyDescent="0.25">
      <c r="A48" s="25"/>
      <c r="B48" s="35">
        <v>589</v>
      </c>
      <c r="C48" s="25" t="s">
        <v>630</v>
      </c>
      <c r="D48" s="25" t="s">
        <v>670</v>
      </c>
      <c r="E48" s="53">
        <v>3600</v>
      </c>
      <c r="F48" s="50"/>
      <c r="G48" s="35">
        <v>36</v>
      </c>
      <c r="H48" s="25">
        <v>100</v>
      </c>
      <c r="I48" s="65">
        <v>3600</v>
      </c>
      <c r="J48" s="66"/>
      <c r="K48" s="66"/>
      <c r="L48" s="66"/>
      <c r="M48" s="66"/>
      <c r="N48" s="66"/>
      <c r="O48" s="66"/>
      <c r="P48" s="66"/>
      <c r="Q48" s="66"/>
      <c r="R48" s="25"/>
      <c r="S48" s="36"/>
      <c r="T48" s="53">
        <f t="shared" si="2"/>
        <v>1430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590</v>
      </c>
      <c r="C49" s="25" t="s">
        <v>671</v>
      </c>
      <c r="D49" s="25" t="s">
        <v>525</v>
      </c>
      <c r="E49" s="53">
        <v>730</v>
      </c>
      <c r="F49" s="50"/>
      <c r="G49" s="25"/>
      <c r="H49" s="25"/>
      <c r="I49" s="65"/>
      <c r="J49" s="66"/>
      <c r="K49" s="66"/>
      <c r="L49" s="66"/>
      <c r="M49" s="66"/>
      <c r="N49" s="66"/>
      <c r="O49" s="66"/>
      <c r="P49" s="66">
        <v>730</v>
      </c>
      <c r="Q49" s="66"/>
      <c r="R49" s="25"/>
      <c r="S49" s="36"/>
      <c r="T49" s="53">
        <f t="shared" si="2"/>
        <v>700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591</v>
      </c>
      <c r="C50" s="25" t="s">
        <v>672</v>
      </c>
      <c r="D50" s="25" t="s">
        <v>673</v>
      </c>
      <c r="E50" s="53">
        <v>2175</v>
      </c>
      <c r="F50" s="50"/>
      <c r="G50" s="25"/>
      <c r="H50" s="25"/>
      <c r="I50" s="65"/>
      <c r="J50" s="66"/>
      <c r="K50" s="66"/>
      <c r="L50" s="66"/>
      <c r="M50" s="66"/>
      <c r="N50" s="66">
        <v>2175</v>
      </c>
      <c r="O50" s="66"/>
      <c r="P50" s="66"/>
      <c r="Q50" s="66"/>
      <c r="R50" s="25"/>
      <c r="S50" s="36"/>
      <c r="T50" s="53">
        <f t="shared" si="2"/>
        <v>-1475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592</v>
      </c>
      <c r="C51" s="25" t="s">
        <v>13</v>
      </c>
      <c r="D51" s="25" t="s">
        <v>674</v>
      </c>
      <c r="E51" s="53">
        <v>2500</v>
      </c>
      <c r="F51" s="50"/>
      <c r="G51" s="25"/>
      <c r="H51" s="25"/>
      <c r="I51" s="65"/>
      <c r="J51" s="66"/>
      <c r="K51" s="66"/>
      <c r="L51" s="66"/>
      <c r="M51" s="66"/>
      <c r="N51" s="66"/>
      <c r="O51" s="66"/>
      <c r="P51" s="66"/>
      <c r="Q51" s="66">
        <v>2500</v>
      </c>
      <c r="R51" s="25"/>
      <c r="S51" s="36"/>
      <c r="T51" s="53">
        <f t="shared" si="2"/>
        <v>-3975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593</v>
      </c>
      <c r="C52" s="25" t="s">
        <v>675</v>
      </c>
      <c r="D52" s="25" t="s">
        <v>119</v>
      </c>
      <c r="E52" s="53">
        <v>500</v>
      </c>
      <c r="F52" s="50"/>
      <c r="G52" s="25"/>
      <c r="H52" s="25"/>
      <c r="I52" s="65"/>
      <c r="J52" s="66"/>
      <c r="K52" s="66"/>
      <c r="L52" s="66"/>
      <c r="M52" s="66">
        <v>500</v>
      </c>
      <c r="N52" s="66"/>
      <c r="O52" s="66"/>
      <c r="P52" s="66"/>
      <c r="Q52" s="66"/>
      <c r="R52" s="25"/>
      <c r="S52" s="36"/>
      <c r="T52" s="53">
        <f t="shared" si="2"/>
        <v>-4475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594</v>
      </c>
      <c r="C53" s="25" t="s">
        <v>637</v>
      </c>
      <c r="D53" s="25" t="s">
        <v>299</v>
      </c>
      <c r="E53" s="53">
        <v>380</v>
      </c>
      <c r="F53" s="50"/>
      <c r="G53" s="25"/>
      <c r="H53" s="25"/>
      <c r="I53" s="65"/>
      <c r="J53" s="66"/>
      <c r="K53" s="66"/>
      <c r="L53" s="66"/>
      <c r="M53" s="66"/>
      <c r="N53" s="66"/>
      <c r="O53" s="66"/>
      <c r="P53" s="66">
        <v>380</v>
      </c>
      <c r="Q53" s="66"/>
      <c r="R53" s="25"/>
      <c r="S53" s="36"/>
      <c r="T53" s="53">
        <f t="shared" si="2"/>
        <v>-4855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595</v>
      </c>
      <c r="C54" s="25" t="s">
        <v>676</v>
      </c>
      <c r="D54" s="25" t="s">
        <v>54</v>
      </c>
      <c r="E54" s="53">
        <v>13200</v>
      </c>
      <c r="F54" s="50"/>
      <c r="G54" s="35">
        <v>132</v>
      </c>
      <c r="H54" s="25">
        <v>100</v>
      </c>
      <c r="I54" s="65">
        <v>13200</v>
      </c>
      <c r="J54" s="66"/>
      <c r="K54" s="66"/>
      <c r="L54" s="66"/>
      <c r="M54" s="66"/>
      <c r="N54" s="66"/>
      <c r="O54" s="66"/>
      <c r="P54" s="66"/>
      <c r="Q54" s="66"/>
      <c r="R54" s="25"/>
      <c r="S54" s="36"/>
      <c r="T54" s="53">
        <f t="shared" si="2"/>
        <v>-18055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596</v>
      </c>
      <c r="C55" s="25" t="s">
        <v>676</v>
      </c>
      <c r="D55" s="25" t="s">
        <v>677</v>
      </c>
      <c r="E55" s="53">
        <v>1600</v>
      </c>
      <c r="F55" s="50"/>
      <c r="G55" s="35">
        <v>16</v>
      </c>
      <c r="H55" s="25">
        <v>100</v>
      </c>
      <c r="I55" s="65">
        <v>1600</v>
      </c>
      <c r="J55" s="66"/>
      <c r="K55" s="66"/>
      <c r="L55" s="66"/>
      <c r="M55" s="66"/>
      <c r="N55" s="66"/>
      <c r="O55" s="66"/>
      <c r="P55" s="66"/>
      <c r="Q55" s="66"/>
      <c r="R55" s="25"/>
      <c r="S55" s="36"/>
      <c r="T55" s="53">
        <f t="shared" si="2"/>
        <v>-19655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/>
      <c r="C56" s="25" t="s">
        <v>641</v>
      </c>
      <c r="D56" s="25"/>
      <c r="E56" s="53"/>
      <c r="F56" s="68">
        <v>100000</v>
      </c>
      <c r="G56" s="25"/>
      <c r="H56" s="25"/>
      <c r="I56" s="65"/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>T55-E56+100000</f>
        <v>80345</v>
      </c>
      <c r="U56" s="42"/>
      <c r="V56" s="42"/>
      <c r="W56" s="42"/>
      <c r="X56" s="42"/>
      <c r="Y56" s="42"/>
    </row>
    <row r="57" ht="15.75" customHeight="1" spans="1:25" x14ac:dyDescent="0.25">
      <c r="A57" s="25" t="s">
        <v>678</v>
      </c>
      <c r="B57" s="35">
        <v>597</v>
      </c>
      <c r="C57" s="25" t="s">
        <v>630</v>
      </c>
      <c r="D57" s="25" t="s">
        <v>679</v>
      </c>
      <c r="E57" s="53">
        <v>3200</v>
      </c>
      <c r="F57" s="50"/>
      <c r="G57" s="35">
        <v>32</v>
      </c>
      <c r="H57" s="35">
        <v>100</v>
      </c>
      <c r="I57" s="53">
        <v>3200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ref="T57:T80" si="3">T56-E57</f>
        <v>77145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598</v>
      </c>
      <c r="C58" s="25" t="s">
        <v>630</v>
      </c>
      <c r="D58" s="25" t="s">
        <v>669</v>
      </c>
      <c r="E58" s="53">
        <v>2700</v>
      </c>
      <c r="F58" s="50"/>
      <c r="G58" s="35">
        <v>27</v>
      </c>
      <c r="H58" s="35">
        <v>100</v>
      </c>
      <c r="I58" s="53">
        <v>2700</v>
      </c>
      <c r="J58" s="66"/>
      <c r="K58" s="66"/>
      <c r="L58" s="66"/>
      <c r="M58" s="66"/>
      <c r="N58" s="66"/>
      <c r="O58" s="66"/>
      <c r="P58" s="66"/>
      <c r="Q58" s="66"/>
      <c r="R58" s="25"/>
      <c r="S58" s="36"/>
      <c r="T58" s="53">
        <f t="shared" si="3"/>
        <v>74445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599</v>
      </c>
      <c r="C59" s="25" t="s">
        <v>680</v>
      </c>
      <c r="D59" s="25" t="s">
        <v>557</v>
      </c>
      <c r="E59" s="53">
        <v>4675</v>
      </c>
      <c r="F59" s="50"/>
      <c r="G59" s="35"/>
      <c r="H59" s="35"/>
      <c r="I59" s="65"/>
      <c r="J59" s="66"/>
      <c r="K59" s="66"/>
      <c r="L59" s="66"/>
      <c r="M59" s="66"/>
      <c r="N59" s="66"/>
      <c r="O59" s="66"/>
      <c r="P59" s="66"/>
      <c r="Q59" s="66"/>
      <c r="R59" s="25">
        <v>4675</v>
      </c>
      <c r="S59" s="36"/>
      <c r="T59" s="53">
        <f t="shared" si="3"/>
        <v>69770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600</v>
      </c>
      <c r="C60" s="25" t="s">
        <v>213</v>
      </c>
      <c r="D60" s="25" t="s">
        <v>28</v>
      </c>
      <c r="E60" s="53">
        <v>1260</v>
      </c>
      <c r="F60" s="50"/>
      <c r="G60" s="35"/>
      <c r="H60" s="35"/>
      <c r="I60" s="65"/>
      <c r="J60" s="66"/>
      <c r="K60" s="66"/>
      <c r="L60" s="66">
        <v>1260</v>
      </c>
      <c r="M60" s="66"/>
      <c r="N60" s="66"/>
      <c r="O60" s="66"/>
      <c r="P60" s="66"/>
      <c r="Q60" s="66"/>
      <c r="R60" s="25"/>
      <c r="S60" s="36"/>
      <c r="T60" s="53">
        <f t="shared" si="3"/>
        <v>68510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601</v>
      </c>
      <c r="C61" s="25" t="s">
        <v>630</v>
      </c>
      <c r="D61" s="25" t="s">
        <v>54</v>
      </c>
      <c r="E61" s="53">
        <v>8500</v>
      </c>
      <c r="F61" s="50"/>
      <c r="G61" s="35">
        <v>85</v>
      </c>
      <c r="H61" s="35">
        <v>100</v>
      </c>
      <c r="I61" s="53">
        <v>8500</v>
      </c>
      <c r="J61" s="66"/>
      <c r="K61" s="66"/>
      <c r="L61" s="66"/>
      <c r="M61" s="67"/>
      <c r="N61" s="66"/>
      <c r="O61" s="66"/>
      <c r="P61" s="66"/>
      <c r="Q61" s="66"/>
      <c r="R61" s="25"/>
      <c r="S61" s="36"/>
      <c r="T61" s="53">
        <f t="shared" si="3"/>
        <v>60010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602</v>
      </c>
      <c r="C62" s="25" t="s">
        <v>630</v>
      </c>
      <c r="D62" s="25" t="s">
        <v>618</v>
      </c>
      <c r="E62" s="53">
        <v>14300</v>
      </c>
      <c r="F62" s="50"/>
      <c r="G62" s="35">
        <v>143</v>
      </c>
      <c r="H62" s="35">
        <v>100</v>
      </c>
      <c r="I62" s="53">
        <v>14300</v>
      </c>
      <c r="J62" s="66"/>
      <c r="K62" s="66"/>
      <c r="L62" s="66"/>
      <c r="M62" s="66"/>
      <c r="N62" s="66"/>
      <c r="O62" s="66"/>
      <c r="P62" s="67"/>
      <c r="Q62" s="66"/>
      <c r="R62" s="25"/>
      <c r="S62" s="36"/>
      <c r="T62" s="53">
        <f t="shared" si="3"/>
        <v>45710</v>
      </c>
      <c r="U62" s="42"/>
      <c r="V62" s="42"/>
      <c r="W62" s="42"/>
      <c r="X62" s="42"/>
      <c r="Y62" s="42"/>
    </row>
    <row r="63" ht="15.75" customHeight="1" spans="1:25" x14ac:dyDescent="0.25">
      <c r="A63" s="25" t="s">
        <v>681</v>
      </c>
      <c r="B63" s="35">
        <v>603</v>
      </c>
      <c r="C63" s="25" t="s">
        <v>682</v>
      </c>
      <c r="D63" s="25" t="s">
        <v>683</v>
      </c>
      <c r="E63" s="53">
        <v>600</v>
      </c>
      <c r="F63" s="50"/>
      <c r="G63" s="25"/>
      <c r="H63" s="25"/>
      <c r="I63" s="65"/>
      <c r="J63" s="66"/>
      <c r="K63" s="66">
        <v>600</v>
      </c>
      <c r="L63" s="66"/>
      <c r="M63" s="66"/>
      <c r="N63" s="66"/>
      <c r="O63" s="66"/>
      <c r="P63" s="66"/>
      <c r="Q63" s="66"/>
      <c r="R63" s="25"/>
      <c r="S63" s="36"/>
      <c r="T63" s="53">
        <f t="shared" si="3"/>
        <v>45110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604</v>
      </c>
      <c r="C64" s="25" t="s">
        <v>13</v>
      </c>
      <c r="D64" s="25" t="s">
        <v>674</v>
      </c>
      <c r="E64" s="53">
        <v>2500</v>
      </c>
      <c r="F64" s="50"/>
      <c r="G64" s="25"/>
      <c r="H64" s="25"/>
      <c r="I64" s="65"/>
      <c r="J64" s="66"/>
      <c r="K64" s="66"/>
      <c r="L64" s="66"/>
      <c r="M64" s="66"/>
      <c r="N64" s="66"/>
      <c r="O64" s="66"/>
      <c r="P64" s="66"/>
      <c r="Q64" s="66">
        <v>2500</v>
      </c>
      <c r="R64" s="25"/>
      <c r="S64" s="36"/>
      <c r="T64" s="53">
        <f t="shared" si="3"/>
        <v>42610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605</v>
      </c>
      <c r="C65" s="25" t="s">
        <v>684</v>
      </c>
      <c r="D65" s="25" t="s">
        <v>119</v>
      </c>
      <c r="E65" s="53">
        <v>500</v>
      </c>
      <c r="F65" s="50"/>
      <c r="G65" s="25"/>
      <c r="H65" s="25"/>
      <c r="I65" s="65"/>
      <c r="J65" s="66"/>
      <c r="K65" s="66"/>
      <c r="L65" s="66"/>
      <c r="M65" s="66">
        <v>500</v>
      </c>
      <c r="N65" s="66"/>
      <c r="O65" s="66"/>
      <c r="P65" s="66"/>
      <c r="Q65" s="66"/>
      <c r="R65" s="25"/>
      <c r="S65" s="36"/>
      <c r="T65" s="53">
        <f t="shared" si="3"/>
        <v>42110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606</v>
      </c>
      <c r="C66" s="25" t="s">
        <v>637</v>
      </c>
      <c r="D66" s="25" t="s">
        <v>385</v>
      </c>
      <c r="E66" s="53">
        <v>380</v>
      </c>
      <c r="F66" s="50"/>
      <c r="G66" s="35"/>
      <c r="H66" s="35"/>
      <c r="I66" s="53"/>
      <c r="J66" s="66"/>
      <c r="K66" s="66"/>
      <c r="L66" s="66"/>
      <c r="M66" s="66"/>
      <c r="N66" s="66"/>
      <c r="O66" s="67"/>
      <c r="P66" s="66">
        <v>380</v>
      </c>
      <c r="Q66" s="66"/>
      <c r="R66" s="25"/>
      <c r="S66" s="36"/>
      <c r="T66" s="53">
        <f t="shared" si="3"/>
        <v>41730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607</v>
      </c>
      <c r="C67" s="25" t="s">
        <v>685</v>
      </c>
      <c r="D67" s="25" t="s">
        <v>686</v>
      </c>
      <c r="E67" s="53">
        <v>3000</v>
      </c>
      <c r="F67" s="50"/>
      <c r="G67" s="35"/>
      <c r="H67" s="35"/>
      <c r="I67" s="53"/>
      <c r="J67" s="66"/>
      <c r="K67" s="66"/>
      <c r="L67" s="66"/>
      <c r="M67" s="66"/>
      <c r="N67" s="66"/>
      <c r="O67" s="67"/>
      <c r="P67" s="66">
        <v>3000</v>
      </c>
      <c r="Q67" s="66"/>
      <c r="R67" s="25"/>
      <c r="S67" s="36"/>
      <c r="T67" s="53">
        <f t="shared" si="3"/>
        <v>38730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608</v>
      </c>
      <c r="C68" s="25" t="s">
        <v>630</v>
      </c>
      <c r="D68" s="25" t="s">
        <v>200</v>
      </c>
      <c r="E68" s="53">
        <v>59200</v>
      </c>
      <c r="F68" s="50"/>
      <c r="G68" s="35">
        <v>592</v>
      </c>
      <c r="H68" s="35">
        <v>100</v>
      </c>
      <c r="I68" s="53">
        <v>59200</v>
      </c>
      <c r="J68" s="66"/>
      <c r="K68" s="66"/>
      <c r="L68" s="66"/>
      <c r="M68" s="66"/>
      <c r="N68" s="66"/>
      <c r="O68" s="66"/>
      <c r="P68" s="66"/>
      <c r="Q68" s="67"/>
      <c r="R68" s="25"/>
      <c r="S68" s="36"/>
      <c r="T68" s="53">
        <f t="shared" si="3"/>
        <v>-20470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609</v>
      </c>
      <c r="C69" s="25" t="s">
        <v>333</v>
      </c>
      <c r="D69" s="25" t="s">
        <v>26</v>
      </c>
      <c r="E69" s="53">
        <v>20</v>
      </c>
      <c r="F69" s="50"/>
      <c r="G69" s="25"/>
      <c r="H69" s="25"/>
      <c r="I69" s="65"/>
      <c r="J69" s="66"/>
      <c r="K69" s="66"/>
      <c r="L69" s="66"/>
      <c r="M69" s="66"/>
      <c r="N69" s="66"/>
      <c r="O69" s="66"/>
      <c r="P69" s="67">
        <v>20</v>
      </c>
      <c r="Q69" s="66"/>
      <c r="R69" s="25"/>
      <c r="S69" s="36"/>
      <c r="T69" s="53">
        <f t="shared" si="3"/>
        <v>-20490</v>
      </c>
      <c r="U69" s="42"/>
      <c r="V69" s="42"/>
      <c r="W69" s="42"/>
      <c r="X69" s="42"/>
      <c r="Y69" s="42"/>
    </row>
    <row r="70" ht="15.75" customHeight="1" spans="1:25" x14ac:dyDescent="0.25">
      <c r="A70" s="25" t="s">
        <v>687</v>
      </c>
      <c r="B70" s="35">
        <v>610</v>
      </c>
      <c r="C70" s="27" t="s">
        <v>249</v>
      </c>
      <c r="D70" s="27" t="s">
        <v>28</v>
      </c>
      <c r="E70" s="74">
        <v>440</v>
      </c>
      <c r="F70" s="50"/>
      <c r="G70" s="25"/>
      <c r="H70" s="25"/>
      <c r="I70" s="65"/>
      <c r="J70" s="66"/>
      <c r="K70" s="66"/>
      <c r="L70" s="66">
        <v>440</v>
      </c>
      <c r="M70" s="66"/>
      <c r="N70" s="66"/>
      <c r="O70" s="66"/>
      <c r="P70" s="66"/>
      <c r="Q70" s="66"/>
      <c r="R70" s="25"/>
      <c r="S70" s="36"/>
      <c r="T70" s="53">
        <f t="shared" si="3"/>
        <v>-20930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611</v>
      </c>
      <c r="C71" s="25" t="s">
        <v>630</v>
      </c>
      <c r="D71" s="25" t="s">
        <v>54</v>
      </c>
      <c r="E71" s="53">
        <v>13400</v>
      </c>
      <c r="F71" s="50"/>
      <c r="G71" s="35">
        <v>134</v>
      </c>
      <c r="H71" s="35">
        <v>100</v>
      </c>
      <c r="I71" s="53">
        <v>13400</v>
      </c>
      <c r="J71" s="66"/>
      <c r="K71" s="66"/>
      <c r="L71" s="66"/>
      <c r="M71" s="66"/>
      <c r="N71" s="66"/>
      <c r="O71" s="66"/>
      <c r="P71" s="66"/>
      <c r="Q71" s="66"/>
      <c r="R71" s="25"/>
      <c r="S71" s="36"/>
      <c r="T71" s="53">
        <f t="shared" si="3"/>
        <v>-34330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688</v>
      </c>
      <c r="B72" s="35">
        <v>612</v>
      </c>
      <c r="C72" s="25" t="s">
        <v>630</v>
      </c>
      <c r="D72" s="25" t="s">
        <v>679</v>
      </c>
      <c r="E72" s="53">
        <v>3500</v>
      </c>
      <c r="F72" s="50"/>
      <c r="G72" s="35">
        <v>35</v>
      </c>
      <c r="H72" s="35">
        <v>100</v>
      </c>
      <c r="I72" s="53">
        <v>3500</v>
      </c>
      <c r="J72" s="66"/>
      <c r="K72" s="66"/>
      <c r="L72" s="66"/>
      <c r="M72" s="66"/>
      <c r="N72" s="66"/>
      <c r="O72" s="66"/>
      <c r="P72" s="66"/>
      <c r="Q72" s="66"/>
      <c r="R72" s="25"/>
      <c r="S72" s="36"/>
      <c r="T72" s="53">
        <f t="shared" si="3"/>
        <v>-37830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613</v>
      </c>
      <c r="C73" s="25" t="s">
        <v>689</v>
      </c>
      <c r="D73" s="25" t="s">
        <v>295</v>
      </c>
      <c r="E73" s="53">
        <v>450</v>
      </c>
      <c r="F73" s="50"/>
      <c r="G73" s="25"/>
      <c r="H73" s="25"/>
      <c r="I73" s="65"/>
      <c r="J73" s="66"/>
      <c r="K73" s="66"/>
      <c r="L73" s="66"/>
      <c r="M73" s="66"/>
      <c r="N73" s="66"/>
      <c r="O73" s="66"/>
      <c r="P73" s="66">
        <v>450</v>
      </c>
      <c r="Q73" s="66"/>
      <c r="R73" s="25"/>
      <c r="S73" s="36"/>
      <c r="T73" s="53">
        <f t="shared" si="3"/>
        <v>-38280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614</v>
      </c>
      <c r="C74" s="25" t="s">
        <v>98</v>
      </c>
      <c r="D74" s="25" t="s">
        <v>119</v>
      </c>
      <c r="E74" s="53">
        <v>300</v>
      </c>
      <c r="F74" s="50"/>
      <c r="G74" s="35"/>
      <c r="H74" s="35"/>
      <c r="I74" s="53"/>
      <c r="J74" s="66"/>
      <c r="K74" s="66"/>
      <c r="L74" s="66"/>
      <c r="M74" s="66">
        <v>300</v>
      </c>
      <c r="N74" s="66"/>
      <c r="O74" s="66"/>
      <c r="P74" s="66"/>
      <c r="Q74" s="66"/>
      <c r="R74" s="25"/>
      <c r="S74" s="36"/>
      <c r="T74" s="53">
        <f t="shared" si="3"/>
        <v>-38580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>
        <v>615</v>
      </c>
      <c r="C75" s="25" t="s">
        <v>630</v>
      </c>
      <c r="D75" s="25" t="s">
        <v>54</v>
      </c>
      <c r="E75" s="53">
        <v>15800</v>
      </c>
      <c r="F75" s="50"/>
      <c r="G75" s="35">
        <v>158</v>
      </c>
      <c r="H75" s="35">
        <v>100</v>
      </c>
      <c r="I75" s="53">
        <v>15800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3"/>
        <v>-54380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>
        <v>616</v>
      </c>
      <c r="C76" s="25" t="s">
        <v>13</v>
      </c>
      <c r="D76" s="25" t="s">
        <v>690</v>
      </c>
      <c r="E76" s="53">
        <v>3000</v>
      </c>
      <c r="F76" s="50"/>
      <c r="G76" s="35"/>
      <c r="H76" s="35"/>
      <c r="I76" s="53"/>
      <c r="J76" s="66"/>
      <c r="K76" s="66"/>
      <c r="L76" s="66"/>
      <c r="M76" s="66"/>
      <c r="N76" s="66"/>
      <c r="O76" s="66"/>
      <c r="P76" s="66"/>
      <c r="Q76" s="66">
        <v>3000</v>
      </c>
      <c r="R76" s="25"/>
      <c r="S76" s="36"/>
      <c r="T76" s="53">
        <f t="shared" si="3"/>
        <v>-57380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617</v>
      </c>
      <c r="C77" s="25" t="s">
        <v>637</v>
      </c>
      <c r="D77" s="25" t="s">
        <v>385</v>
      </c>
      <c r="E77" s="53">
        <v>380</v>
      </c>
      <c r="F77" s="50"/>
      <c r="G77" s="35"/>
      <c r="H77" s="35"/>
      <c r="I77" s="53"/>
      <c r="J77" s="66"/>
      <c r="K77" s="67"/>
      <c r="L77" s="66"/>
      <c r="M77" s="66"/>
      <c r="N77" s="66"/>
      <c r="O77" s="66"/>
      <c r="P77" s="66">
        <v>380</v>
      </c>
      <c r="Q77" s="66"/>
      <c r="R77" s="25"/>
      <c r="S77" s="36"/>
      <c r="T77" s="53">
        <f t="shared" si="3"/>
        <v>-57760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618</v>
      </c>
      <c r="C78" s="25" t="s">
        <v>630</v>
      </c>
      <c r="D78" s="25" t="s">
        <v>691</v>
      </c>
      <c r="E78" s="53">
        <v>3100</v>
      </c>
      <c r="F78" s="50"/>
      <c r="G78" s="35">
        <v>31</v>
      </c>
      <c r="H78" s="35">
        <v>100</v>
      </c>
      <c r="I78" s="53">
        <v>3100</v>
      </c>
      <c r="J78" s="66"/>
      <c r="K78" s="66"/>
      <c r="L78" s="66"/>
      <c r="M78" s="66"/>
      <c r="N78" s="66"/>
      <c r="O78" s="66"/>
      <c r="P78" s="66"/>
      <c r="Q78" s="66"/>
      <c r="R78" s="25"/>
      <c r="S78" s="36"/>
      <c r="T78" s="53">
        <f t="shared" si="3"/>
        <v>-60860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619</v>
      </c>
      <c r="C79" s="25" t="s">
        <v>630</v>
      </c>
      <c r="D79" s="25" t="s">
        <v>618</v>
      </c>
      <c r="E79" s="53">
        <v>12600</v>
      </c>
      <c r="F79" s="50"/>
      <c r="G79" s="35">
        <v>126</v>
      </c>
      <c r="H79" s="35">
        <v>100</v>
      </c>
      <c r="I79" s="53">
        <v>12600</v>
      </c>
      <c r="J79" s="66"/>
      <c r="K79" s="66"/>
      <c r="L79" s="66"/>
      <c r="M79" s="66"/>
      <c r="N79" s="66"/>
      <c r="O79" s="66"/>
      <c r="P79" s="66"/>
      <c r="Q79" s="66"/>
      <c r="R79" s="25"/>
      <c r="S79" s="36"/>
      <c r="T79" s="53">
        <f t="shared" si="3"/>
        <v>-73460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620</v>
      </c>
      <c r="C80" s="25" t="s">
        <v>630</v>
      </c>
      <c r="D80" s="25" t="s">
        <v>692</v>
      </c>
      <c r="E80" s="53">
        <v>3200</v>
      </c>
      <c r="F80" s="50"/>
      <c r="G80" s="35">
        <v>32</v>
      </c>
      <c r="H80" s="25">
        <v>100</v>
      </c>
      <c r="I80" s="65">
        <v>3200</v>
      </c>
      <c r="J80" s="66"/>
      <c r="K80" s="66"/>
      <c r="L80" s="66"/>
      <c r="M80" s="66"/>
      <c r="N80" s="66"/>
      <c r="O80" s="66"/>
      <c r="P80" s="66"/>
      <c r="Q80" s="66"/>
      <c r="R80" s="25"/>
      <c r="S80" s="36"/>
      <c r="T80" s="53">
        <f t="shared" si="3"/>
        <v>-76660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/>
      <c r="C81" s="25" t="s">
        <v>641</v>
      </c>
      <c r="D81" s="25"/>
      <c r="E81" s="53"/>
      <c r="F81" s="68">
        <v>100000</v>
      </c>
      <c r="G81" s="25"/>
      <c r="H81" s="25"/>
      <c r="I81" s="65"/>
      <c r="J81" s="66"/>
      <c r="K81" s="66"/>
      <c r="L81" s="66"/>
      <c r="M81" s="66"/>
      <c r="N81" s="66"/>
      <c r="O81" s="66"/>
      <c r="P81" s="67"/>
      <c r="Q81" s="66"/>
      <c r="R81" s="25"/>
      <c r="S81" s="36"/>
      <c r="T81" s="53">
        <f>T80-E81+100000</f>
        <v>23340</v>
      </c>
      <c r="U81" s="42"/>
      <c r="V81" s="42"/>
      <c r="W81" s="42"/>
      <c r="X81" s="42"/>
      <c r="Y81" s="42"/>
    </row>
    <row r="82" ht="15.75" customHeight="1" spans="1:25" x14ac:dyDescent="0.25">
      <c r="A82" s="25" t="s">
        <v>693</v>
      </c>
      <c r="B82" s="35">
        <v>621</v>
      </c>
      <c r="C82" s="25" t="s">
        <v>630</v>
      </c>
      <c r="D82" s="25" t="s">
        <v>692</v>
      </c>
      <c r="E82" s="53">
        <v>5000</v>
      </c>
      <c r="F82" s="50"/>
      <c r="G82" s="35">
        <v>50</v>
      </c>
      <c r="H82" s="25">
        <v>100</v>
      </c>
      <c r="I82" s="65">
        <f t="shared" ref="I82:I87" si="4">H82*G82</f>
        <v>5000</v>
      </c>
      <c r="J82" s="66"/>
      <c r="K82" s="66"/>
      <c r="L82" s="66"/>
      <c r="M82" s="66"/>
      <c r="N82" s="66"/>
      <c r="O82" s="66"/>
      <c r="P82" s="66"/>
      <c r="Q82" s="67"/>
      <c r="R82" s="25"/>
      <c r="S82" s="36"/>
      <c r="T82" s="53">
        <f t="shared" ref="T82:T98" si="5">T81-E82</f>
        <v>18340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>
        <v>622</v>
      </c>
      <c r="C83" s="25" t="s">
        <v>630</v>
      </c>
      <c r="D83" s="25" t="s">
        <v>395</v>
      </c>
      <c r="E83" s="53">
        <v>2600</v>
      </c>
      <c r="F83" s="50"/>
      <c r="G83" s="35">
        <v>26</v>
      </c>
      <c r="H83" s="25">
        <v>100</v>
      </c>
      <c r="I83" s="65">
        <f t="shared" si="4"/>
        <v>2600</v>
      </c>
      <c r="J83" s="66"/>
      <c r="K83" s="66"/>
      <c r="L83" s="66"/>
      <c r="M83" s="66"/>
      <c r="N83" s="66"/>
      <c r="O83" s="66"/>
      <c r="P83" s="67"/>
      <c r="Q83" s="66"/>
      <c r="R83" s="25"/>
      <c r="S83" s="36"/>
      <c r="T83" s="53">
        <f t="shared" si="5"/>
        <v>15740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623</v>
      </c>
      <c r="C84" s="25" t="s">
        <v>630</v>
      </c>
      <c r="D84" s="25" t="s">
        <v>694</v>
      </c>
      <c r="E84" s="53">
        <v>3700</v>
      </c>
      <c r="F84" s="50"/>
      <c r="G84" s="35">
        <v>37</v>
      </c>
      <c r="H84" s="25">
        <v>100</v>
      </c>
      <c r="I84" s="65">
        <f t="shared" si="4"/>
        <v>3700</v>
      </c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5"/>
        <v>12040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>
        <v>624</v>
      </c>
      <c r="C85" s="25" t="s">
        <v>630</v>
      </c>
      <c r="D85" s="25" t="s">
        <v>420</v>
      </c>
      <c r="E85" s="53">
        <v>5900</v>
      </c>
      <c r="F85" s="50"/>
      <c r="G85" s="35">
        <v>59</v>
      </c>
      <c r="H85" s="25">
        <v>100</v>
      </c>
      <c r="I85" s="65">
        <f t="shared" si="4"/>
        <v>5900</v>
      </c>
      <c r="J85" s="66"/>
      <c r="K85" s="66"/>
      <c r="L85" s="66"/>
      <c r="M85" s="66"/>
      <c r="N85" s="66"/>
      <c r="O85" s="66"/>
      <c r="P85" s="67"/>
      <c r="Q85" s="66"/>
      <c r="R85" s="25"/>
      <c r="S85" s="36"/>
      <c r="T85" s="53">
        <f t="shared" si="5"/>
        <v>6140</v>
      </c>
      <c r="U85" s="42"/>
      <c r="V85" s="42"/>
      <c r="W85" s="42"/>
      <c r="X85" s="42"/>
      <c r="Y85" s="42"/>
    </row>
    <row r="86" ht="15.75" customHeight="1" spans="1:25" x14ac:dyDescent="0.25">
      <c r="A86" s="25"/>
      <c r="B86" s="35">
        <v>625</v>
      </c>
      <c r="C86" s="25" t="s">
        <v>630</v>
      </c>
      <c r="D86" s="25" t="s">
        <v>618</v>
      </c>
      <c r="E86" s="53">
        <v>12600</v>
      </c>
      <c r="F86" s="50"/>
      <c r="G86" s="35">
        <v>126</v>
      </c>
      <c r="H86" s="25">
        <v>100</v>
      </c>
      <c r="I86" s="65">
        <f t="shared" si="4"/>
        <v>12600</v>
      </c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5"/>
        <v>-6460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626</v>
      </c>
      <c r="C87" s="25" t="s">
        <v>630</v>
      </c>
      <c r="D87" s="25" t="s">
        <v>695</v>
      </c>
      <c r="E87" s="53">
        <v>21700</v>
      </c>
      <c r="F87" s="50"/>
      <c r="G87" s="35">
        <v>217</v>
      </c>
      <c r="H87" s="25">
        <v>100</v>
      </c>
      <c r="I87" s="65">
        <f t="shared" si="4"/>
        <v>21700</v>
      </c>
      <c r="J87" s="66"/>
      <c r="K87" s="66"/>
      <c r="L87" s="66"/>
      <c r="M87" s="66"/>
      <c r="N87" s="66"/>
      <c r="O87" s="66"/>
      <c r="P87" s="66"/>
      <c r="Q87" s="66"/>
      <c r="R87" s="25"/>
      <c r="S87" s="36"/>
      <c r="T87" s="53">
        <f t="shared" si="5"/>
        <v>-28160</v>
      </c>
      <c r="U87" s="42"/>
      <c r="V87" s="42"/>
      <c r="W87" s="42"/>
      <c r="X87" s="42"/>
      <c r="Y87" s="42"/>
    </row>
    <row r="88" ht="15.75" customHeight="1" spans="1:25" x14ac:dyDescent="0.25">
      <c r="A88" s="25" t="s">
        <v>696</v>
      </c>
      <c r="B88" s="35">
        <v>627</v>
      </c>
      <c r="C88" s="25" t="s">
        <v>563</v>
      </c>
      <c r="D88" s="25" t="s">
        <v>697</v>
      </c>
      <c r="E88" s="53">
        <v>1600</v>
      </c>
      <c r="F88" s="50"/>
      <c r="G88" s="25"/>
      <c r="H88" s="35"/>
      <c r="I88" s="53"/>
      <c r="J88" s="66"/>
      <c r="K88" s="66"/>
      <c r="L88" s="66"/>
      <c r="M88" s="66"/>
      <c r="N88" s="66"/>
      <c r="O88" s="66"/>
      <c r="P88" s="66"/>
      <c r="Q88" s="66"/>
      <c r="R88" s="25">
        <v>1600</v>
      </c>
      <c r="S88" s="36"/>
      <c r="T88" s="53">
        <f t="shared" si="5"/>
        <v>-29760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628</v>
      </c>
      <c r="C89" s="25" t="s">
        <v>630</v>
      </c>
      <c r="D89" s="25" t="s">
        <v>692</v>
      </c>
      <c r="E89" s="53">
        <v>5100</v>
      </c>
      <c r="F89" s="50"/>
      <c r="G89" s="35">
        <v>51</v>
      </c>
      <c r="H89" s="35">
        <v>100</v>
      </c>
      <c r="I89" s="53">
        <f t="shared" ref="I89:I92" si="6">H89*G89</f>
        <v>5100</v>
      </c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5"/>
        <v>-34860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>
        <v>629</v>
      </c>
      <c r="C90" s="25" t="s">
        <v>630</v>
      </c>
      <c r="D90" s="25" t="s">
        <v>698</v>
      </c>
      <c r="E90" s="53">
        <v>2200</v>
      </c>
      <c r="F90" s="50"/>
      <c r="G90" s="35">
        <v>22</v>
      </c>
      <c r="H90" s="35">
        <v>100</v>
      </c>
      <c r="I90" s="53">
        <f t="shared" si="6"/>
        <v>2200</v>
      </c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5"/>
        <v>-37060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>
        <v>630</v>
      </c>
      <c r="C91" s="25" t="s">
        <v>630</v>
      </c>
      <c r="D91" s="25" t="s">
        <v>699</v>
      </c>
      <c r="E91" s="53">
        <v>200</v>
      </c>
      <c r="F91" s="50"/>
      <c r="G91" s="35">
        <v>2</v>
      </c>
      <c r="H91" s="35">
        <v>100</v>
      </c>
      <c r="I91" s="53">
        <f t="shared" si="6"/>
        <v>200</v>
      </c>
      <c r="J91" s="66"/>
      <c r="K91" s="66"/>
      <c r="L91" s="66"/>
      <c r="M91" s="66"/>
      <c r="N91" s="66"/>
      <c r="O91" s="66"/>
      <c r="P91" s="66"/>
      <c r="Q91" s="66"/>
      <c r="R91" s="25"/>
      <c r="S91" s="36"/>
      <c r="T91" s="53">
        <f t="shared" si="5"/>
        <v>-37260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631</v>
      </c>
      <c r="C92" s="25" t="s">
        <v>630</v>
      </c>
      <c r="D92" s="25" t="s">
        <v>54</v>
      </c>
      <c r="E92" s="53">
        <v>9200</v>
      </c>
      <c r="F92" s="50"/>
      <c r="G92" s="35">
        <v>92</v>
      </c>
      <c r="H92" s="35">
        <v>100</v>
      </c>
      <c r="I92" s="53">
        <f t="shared" si="6"/>
        <v>9200</v>
      </c>
      <c r="J92" s="66"/>
      <c r="K92" s="66"/>
      <c r="L92" s="66"/>
      <c r="M92" s="66"/>
      <c r="N92" s="66"/>
      <c r="O92" s="66"/>
      <c r="P92" s="66"/>
      <c r="Q92" s="66"/>
      <c r="R92" s="25"/>
      <c r="S92" s="36"/>
      <c r="T92" s="53">
        <f t="shared" si="5"/>
        <v>-46460</v>
      </c>
      <c r="U92" s="42"/>
      <c r="V92" s="42"/>
      <c r="W92" s="42"/>
      <c r="X92" s="42"/>
      <c r="Y92" s="42"/>
    </row>
    <row r="93" ht="15.75" customHeight="1" spans="1:25" x14ac:dyDescent="0.25">
      <c r="A93" s="25" t="s">
        <v>700</v>
      </c>
      <c r="B93" s="35">
        <v>632</v>
      </c>
      <c r="C93" s="25" t="s">
        <v>13</v>
      </c>
      <c r="D93" s="25" t="s">
        <v>690</v>
      </c>
      <c r="E93" s="53">
        <v>3000</v>
      </c>
      <c r="F93" s="50"/>
      <c r="G93" s="35"/>
      <c r="H93" s="35"/>
      <c r="I93" s="53"/>
      <c r="J93" s="66"/>
      <c r="K93" s="66"/>
      <c r="L93" s="66"/>
      <c r="M93" s="66"/>
      <c r="N93" s="66"/>
      <c r="O93" s="66"/>
      <c r="P93" s="66"/>
      <c r="Q93" s="66">
        <v>3000</v>
      </c>
      <c r="R93" s="25"/>
      <c r="S93" s="36"/>
      <c r="T93" s="53">
        <f t="shared" si="5"/>
        <v>-49460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>
        <v>633</v>
      </c>
      <c r="C94" s="25" t="s">
        <v>637</v>
      </c>
      <c r="D94" s="25" t="s">
        <v>385</v>
      </c>
      <c r="E94" s="53">
        <v>380</v>
      </c>
      <c r="F94" s="50"/>
      <c r="G94" s="35"/>
      <c r="H94" s="25"/>
      <c r="I94" s="65"/>
      <c r="J94" s="66"/>
      <c r="K94" s="66"/>
      <c r="L94" s="66"/>
      <c r="M94" s="66"/>
      <c r="N94" s="66"/>
      <c r="O94" s="66"/>
      <c r="P94" s="66">
        <v>380</v>
      </c>
      <c r="Q94" s="66"/>
      <c r="R94" s="25"/>
      <c r="S94" s="36"/>
      <c r="T94" s="53">
        <f t="shared" si="5"/>
        <v>-49840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>
        <v>634</v>
      </c>
      <c r="C95" s="25" t="s">
        <v>701</v>
      </c>
      <c r="D95" s="25" t="s">
        <v>702</v>
      </c>
      <c r="E95" s="53">
        <v>400</v>
      </c>
      <c r="F95" s="50"/>
      <c r="G95" s="35"/>
      <c r="H95" s="25"/>
      <c r="I95" s="65"/>
      <c r="J95" s="66"/>
      <c r="K95" s="67"/>
      <c r="L95" s="66"/>
      <c r="M95" s="66"/>
      <c r="N95" s="66">
        <v>400</v>
      </c>
      <c r="O95" s="66"/>
      <c r="P95" s="66"/>
      <c r="Q95" s="66"/>
      <c r="R95" s="25"/>
      <c r="S95" s="36"/>
      <c r="T95" s="53">
        <f t="shared" si="5"/>
        <v>-50240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>
        <v>635</v>
      </c>
      <c r="C96" s="25" t="s">
        <v>630</v>
      </c>
      <c r="D96" s="25" t="s">
        <v>69</v>
      </c>
      <c r="E96" s="53">
        <v>4900</v>
      </c>
      <c r="F96" s="50"/>
      <c r="G96" s="35">
        <v>49</v>
      </c>
      <c r="H96" s="35">
        <v>100</v>
      </c>
      <c r="I96" s="53">
        <f t="shared" ref="I96:I98" si="7">H96*G96</f>
        <v>4900</v>
      </c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5"/>
        <v>-55140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636</v>
      </c>
      <c r="C97" s="25" t="s">
        <v>630</v>
      </c>
      <c r="D97" s="25" t="s">
        <v>699</v>
      </c>
      <c r="E97" s="53">
        <v>1300</v>
      </c>
      <c r="F97" s="50"/>
      <c r="G97" s="35">
        <v>13</v>
      </c>
      <c r="H97" s="35">
        <v>100</v>
      </c>
      <c r="I97" s="53">
        <f t="shared" si="7"/>
        <v>1300</v>
      </c>
      <c r="J97" s="66"/>
      <c r="K97" s="66"/>
      <c r="L97" s="66"/>
      <c r="M97" s="66"/>
      <c r="N97" s="66"/>
      <c r="O97" s="66"/>
      <c r="P97" s="66"/>
      <c r="Q97" s="66"/>
      <c r="R97" s="25"/>
      <c r="S97" s="36"/>
      <c r="T97" s="53">
        <f t="shared" si="5"/>
        <v>-56440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>
        <v>637</v>
      </c>
      <c r="C98" s="25" t="s">
        <v>630</v>
      </c>
      <c r="D98" s="25" t="s">
        <v>54</v>
      </c>
      <c r="E98" s="53">
        <v>15300</v>
      </c>
      <c r="F98" s="50"/>
      <c r="G98" s="35">
        <v>153</v>
      </c>
      <c r="H98" s="25">
        <v>100</v>
      </c>
      <c r="I98" s="53">
        <f t="shared" si="7"/>
        <v>15300</v>
      </c>
      <c r="J98" s="66"/>
      <c r="K98" s="66"/>
      <c r="L98" s="66"/>
      <c r="M98" s="66"/>
      <c r="N98" s="66"/>
      <c r="O98" s="66"/>
      <c r="P98" s="66"/>
      <c r="Q98" s="67"/>
      <c r="R98" s="25"/>
      <c r="S98" s="36"/>
      <c r="T98" s="53">
        <f t="shared" si="5"/>
        <v>-71740</v>
      </c>
      <c r="U98" s="42"/>
      <c r="V98" s="42"/>
      <c r="W98" s="42"/>
      <c r="X98" s="42"/>
      <c r="Y98" s="42"/>
    </row>
    <row r="99" ht="15.75" customHeight="1" spans="1:25" x14ac:dyDescent="0.25">
      <c r="A99" s="25" t="s">
        <v>703</v>
      </c>
      <c r="B99" s="35"/>
      <c r="C99" s="25" t="s">
        <v>704</v>
      </c>
      <c r="D99" s="25"/>
      <c r="E99" s="53"/>
      <c r="F99" s="68">
        <v>150000</v>
      </c>
      <c r="G99" s="25"/>
      <c r="H99" s="25"/>
      <c r="I99" s="65"/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>T98-E99+150000</f>
        <v>78260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638</v>
      </c>
      <c r="C100" s="25" t="s">
        <v>630</v>
      </c>
      <c r="D100" s="25" t="s">
        <v>60</v>
      </c>
      <c r="E100" s="53">
        <v>3900</v>
      </c>
      <c r="F100" s="50"/>
      <c r="G100" s="35">
        <v>39</v>
      </c>
      <c r="H100" s="35">
        <v>100</v>
      </c>
      <c r="I100" s="53">
        <v>3900</v>
      </c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ref="T100:T114" si="8">T99-E100</f>
        <v>74360</v>
      </c>
      <c r="U100" s="42"/>
      <c r="V100" s="42"/>
      <c r="W100" s="42"/>
      <c r="X100" s="42"/>
      <c r="Y100" s="42"/>
    </row>
    <row r="101" ht="15.75" customHeight="1" spans="1:25" x14ac:dyDescent="0.25">
      <c r="A101" s="25" t="s">
        <v>705</v>
      </c>
      <c r="B101" s="35">
        <v>639</v>
      </c>
      <c r="C101" s="25" t="s">
        <v>706</v>
      </c>
      <c r="D101" s="25" t="s">
        <v>525</v>
      </c>
      <c r="E101" s="53">
        <v>250</v>
      </c>
      <c r="F101" s="50"/>
      <c r="G101" s="35"/>
      <c r="H101" s="35"/>
      <c r="I101" s="53"/>
      <c r="J101" s="66"/>
      <c r="K101" s="66"/>
      <c r="L101" s="66"/>
      <c r="M101" s="66"/>
      <c r="N101" s="66"/>
      <c r="O101" s="66"/>
      <c r="P101" s="66">
        <v>250</v>
      </c>
      <c r="Q101" s="66"/>
      <c r="R101" s="25"/>
      <c r="S101" s="36"/>
      <c r="T101" s="53">
        <f t="shared" si="8"/>
        <v>74110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640</v>
      </c>
      <c r="C102" s="25" t="s">
        <v>13</v>
      </c>
      <c r="D102" s="25" t="s">
        <v>690</v>
      </c>
      <c r="E102" s="53">
        <v>12000</v>
      </c>
      <c r="F102" s="50"/>
      <c r="G102" s="35"/>
      <c r="H102" s="35"/>
      <c r="I102" s="53"/>
      <c r="J102" s="66"/>
      <c r="K102" s="66"/>
      <c r="L102" s="66"/>
      <c r="M102" s="66"/>
      <c r="N102" s="66"/>
      <c r="O102" s="66"/>
      <c r="P102" s="66"/>
      <c r="Q102" s="66">
        <v>12000</v>
      </c>
      <c r="R102" s="25"/>
      <c r="S102" s="36"/>
      <c r="T102" s="53">
        <f t="shared" si="8"/>
        <v>62110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641</v>
      </c>
      <c r="C103" s="25" t="s">
        <v>384</v>
      </c>
      <c r="D103" s="25" t="s">
        <v>385</v>
      </c>
      <c r="E103" s="53">
        <v>380</v>
      </c>
      <c r="F103" s="50"/>
      <c r="G103" s="25"/>
      <c r="H103" s="35"/>
      <c r="I103" s="53"/>
      <c r="J103" s="66"/>
      <c r="K103" s="66"/>
      <c r="L103" s="66"/>
      <c r="M103" s="66"/>
      <c r="N103" s="66"/>
      <c r="O103" s="66"/>
      <c r="P103" s="66">
        <v>380</v>
      </c>
      <c r="Q103" s="66"/>
      <c r="R103" s="25"/>
      <c r="S103" s="36"/>
      <c r="T103" s="53">
        <f t="shared" si="8"/>
        <v>61730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642</v>
      </c>
      <c r="C104" s="25" t="s">
        <v>300</v>
      </c>
      <c r="D104" s="25" t="s">
        <v>707</v>
      </c>
      <c r="E104" s="53">
        <v>3500</v>
      </c>
      <c r="F104" s="50"/>
      <c r="G104" s="25"/>
      <c r="H104" s="35"/>
      <c r="I104" s="65"/>
      <c r="J104" s="66"/>
      <c r="K104" s="66">
        <v>3500</v>
      </c>
      <c r="L104" s="66"/>
      <c r="M104" s="66"/>
      <c r="N104" s="66"/>
      <c r="O104" s="66"/>
      <c r="P104" s="66"/>
      <c r="Q104" s="66"/>
      <c r="R104" s="25"/>
      <c r="S104" s="36"/>
      <c r="T104" s="53">
        <f t="shared" si="8"/>
        <v>58230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>
        <v>643</v>
      </c>
      <c r="C105" s="25" t="s">
        <v>708</v>
      </c>
      <c r="D105" s="25" t="s">
        <v>28</v>
      </c>
      <c r="E105" s="53">
        <v>1470</v>
      </c>
      <c r="F105" s="50"/>
      <c r="G105" s="25"/>
      <c r="H105" s="35"/>
      <c r="I105" s="53"/>
      <c r="J105" s="66"/>
      <c r="K105" s="66"/>
      <c r="L105" s="66">
        <v>1470</v>
      </c>
      <c r="M105" s="66"/>
      <c r="N105" s="66"/>
      <c r="O105" s="66"/>
      <c r="P105" s="66"/>
      <c r="Q105" s="66"/>
      <c r="R105" s="25"/>
      <c r="S105" s="36"/>
      <c r="T105" s="53">
        <f t="shared" si="8"/>
        <v>56760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>
        <v>644</v>
      </c>
      <c r="C106" s="25" t="s">
        <v>630</v>
      </c>
      <c r="D106" s="25" t="s">
        <v>54</v>
      </c>
      <c r="E106" s="53">
        <v>9800</v>
      </c>
      <c r="F106" s="50"/>
      <c r="G106" s="35">
        <v>98</v>
      </c>
      <c r="H106" s="25">
        <v>100</v>
      </c>
      <c r="I106" s="65">
        <f t="shared" ref="I106:I108" si="9">H106*G106</f>
        <v>9800</v>
      </c>
      <c r="J106" s="66"/>
      <c r="K106" s="66"/>
      <c r="L106" s="66"/>
      <c r="M106" s="67"/>
      <c r="N106" s="66"/>
      <c r="O106" s="66"/>
      <c r="P106" s="66"/>
      <c r="Q106" s="66"/>
      <c r="R106" s="25"/>
      <c r="S106" s="36"/>
      <c r="T106" s="53">
        <f t="shared" si="8"/>
        <v>46960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>
        <v>645</v>
      </c>
      <c r="C107" s="25" t="s">
        <v>630</v>
      </c>
      <c r="D107" s="25" t="s">
        <v>618</v>
      </c>
      <c r="E107" s="53">
        <v>15700</v>
      </c>
      <c r="F107" s="50"/>
      <c r="G107" s="35">
        <v>157</v>
      </c>
      <c r="H107" s="25">
        <v>100</v>
      </c>
      <c r="I107" s="65">
        <f t="shared" si="9"/>
        <v>15700</v>
      </c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8"/>
        <v>31260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>
        <v>646</v>
      </c>
      <c r="C108" s="25" t="s">
        <v>630</v>
      </c>
      <c r="D108" s="25" t="s">
        <v>241</v>
      </c>
      <c r="E108" s="53">
        <v>30800</v>
      </c>
      <c r="F108" s="50"/>
      <c r="G108" s="35">
        <v>308</v>
      </c>
      <c r="H108" s="25">
        <v>100</v>
      </c>
      <c r="I108" s="65">
        <f t="shared" si="9"/>
        <v>30800</v>
      </c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8"/>
        <v>460</v>
      </c>
      <c r="U108" s="42"/>
      <c r="V108" s="42"/>
      <c r="W108" s="42"/>
      <c r="X108" s="42"/>
      <c r="Y108" s="42"/>
    </row>
    <row r="109" ht="15.75" customHeight="1" spans="1:25" x14ac:dyDescent="0.25">
      <c r="A109" s="25" t="s">
        <v>709</v>
      </c>
      <c r="B109" s="35">
        <v>647</v>
      </c>
      <c r="C109" s="25" t="s">
        <v>710</v>
      </c>
      <c r="D109" s="25" t="s">
        <v>427</v>
      </c>
      <c r="E109" s="53">
        <v>4130</v>
      </c>
      <c r="F109" s="50"/>
      <c r="G109" s="35">
        <v>59</v>
      </c>
      <c r="H109" s="35">
        <v>70</v>
      </c>
      <c r="I109" s="53">
        <v>4130</v>
      </c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8"/>
        <v>-3670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>
        <v>648</v>
      </c>
      <c r="C110" s="25" t="s">
        <v>249</v>
      </c>
      <c r="D110" s="25" t="s">
        <v>28</v>
      </c>
      <c r="E110" s="53">
        <v>440</v>
      </c>
      <c r="F110" s="50"/>
      <c r="G110" s="35"/>
      <c r="H110" s="35"/>
      <c r="I110" s="53"/>
      <c r="J110" s="66"/>
      <c r="K110" s="66"/>
      <c r="L110" s="66">
        <v>440</v>
      </c>
      <c r="M110" s="66"/>
      <c r="N110" s="66"/>
      <c r="O110" s="66"/>
      <c r="P110" s="66"/>
      <c r="Q110" s="66"/>
      <c r="R110" s="25"/>
      <c r="S110" s="36"/>
      <c r="T110" s="53">
        <f t="shared" si="8"/>
        <v>-4110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>
        <v>649</v>
      </c>
      <c r="C111" s="25" t="s">
        <v>630</v>
      </c>
      <c r="D111" s="25" t="s">
        <v>52</v>
      </c>
      <c r="E111" s="53">
        <v>2000</v>
      </c>
      <c r="F111" s="50"/>
      <c r="G111" s="35">
        <v>20</v>
      </c>
      <c r="H111" s="25">
        <v>100</v>
      </c>
      <c r="I111" s="65">
        <v>2000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8"/>
        <v>-6110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>
        <v>650</v>
      </c>
      <c r="C112" s="25" t="s">
        <v>630</v>
      </c>
      <c r="D112" s="25" t="s">
        <v>54</v>
      </c>
      <c r="E112" s="53">
        <v>4800</v>
      </c>
      <c r="F112" s="50"/>
      <c r="G112" s="35">
        <v>48</v>
      </c>
      <c r="H112" s="35">
        <v>100</v>
      </c>
      <c r="I112" s="53">
        <v>4800</v>
      </c>
      <c r="J112" s="66"/>
      <c r="K112" s="66"/>
      <c r="L112" s="66"/>
      <c r="M112" s="66"/>
      <c r="N112" s="66"/>
      <c r="O112" s="66"/>
      <c r="P112" s="66"/>
      <c r="Q112" s="66"/>
      <c r="R112" s="25"/>
      <c r="S112" s="36"/>
      <c r="T112" s="53">
        <f t="shared" si="8"/>
        <v>-10910</v>
      </c>
      <c r="U112" s="42"/>
      <c r="V112" s="42"/>
      <c r="W112" s="42"/>
      <c r="X112" s="42"/>
      <c r="Y112" s="42"/>
    </row>
    <row r="113" ht="15.75" customHeight="1" spans="1:25" x14ac:dyDescent="0.25">
      <c r="A113" s="25" t="s">
        <v>711</v>
      </c>
      <c r="B113" s="35">
        <v>651</v>
      </c>
      <c r="C113" s="25" t="s">
        <v>712</v>
      </c>
      <c r="D113" s="25" t="s">
        <v>525</v>
      </c>
      <c r="E113" s="53">
        <v>920</v>
      </c>
      <c r="F113" s="50"/>
      <c r="G113" s="35"/>
      <c r="H113" s="35"/>
      <c r="I113" s="53"/>
      <c r="J113" s="66"/>
      <c r="K113" s="67"/>
      <c r="L113" s="66"/>
      <c r="M113" s="66"/>
      <c r="N113" s="66"/>
      <c r="O113" s="66"/>
      <c r="P113" s="66">
        <v>920</v>
      </c>
      <c r="Q113" s="66"/>
      <c r="R113" s="25"/>
      <c r="S113" s="36"/>
      <c r="T113" s="53">
        <f t="shared" si="8"/>
        <v>-11830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>
        <v>652</v>
      </c>
      <c r="C114" s="25" t="s">
        <v>98</v>
      </c>
      <c r="D114" s="25" t="s">
        <v>119</v>
      </c>
      <c r="E114" s="53">
        <v>300</v>
      </c>
      <c r="F114" s="69"/>
      <c r="G114" s="26"/>
      <c r="H114" s="25"/>
      <c r="I114" s="65"/>
      <c r="J114" s="66"/>
      <c r="K114" s="66"/>
      <c r="L114" s="66"/>
      <c r="M114" s="67">
        <v>300</v>
      </c>
      <c r="N114" s="66"/>
      <c r="O114" s="66"/>
      <c r="P114" s="66"/>
      <c r="Q114" s="66"/>
      <c r="R114" s="25"/>
      <c r="S114" s="36"/>
      <c r="T114" s="53">
        <f t="shared" si="8"/>
        <v>-12130</v>
      </c>
      <c r="U114" s="42"/>
      <c r="V114" s="42"/>
      <c r="W114" s="42"/>
      <c r="X114" s="42"/>
      <c r="Y114" s="42"/>
    </row>
    <row r="115" ht="15.75" customHeight="1" spans="1:25" x14ac:dyDescent="0.25">
      <c r="A115" s="25" t="s">
        <v>713</v>
      </c>
      <c r="B115" s="35"/>
      <c r="C115" s="25" t="s">
        <v>714</v>
      </c>
      <c r="D115" s="25"/>
      <c r="E115" s="53"/>
      <c r="F115" s="68">
        <v>49500</v>
      </c>
      <c r="G115" s="29"/>
      <c r="H115" s="25"/>
      <c r="I115" s="65"/>
      <c r="J115" s="66"/>
      <c r="K115" s="66"/>
      <c r="L115" s="66"/>
      <c r="M115" s="67"/>
      <c r="N115" s="66"/>
      <c r="O115" s="66"/>
      <c r="P115" s="66"/>
      <c r="Q115" s="66"/>
      <c r="R115" s="25"/>
      <c r="S115" s="36"/>
      <c r="T115" s="53">
        <f>T114-E115+49500</f>
        <v>37370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>
        <v>653</v>
      </c>
      <c r="C116" s="25" t="s">
        <v>715</v>
      </c>
      <c r="D116" s="25" t="s">
        <v>91</v>
      </c>
      <c r="E116" s="53">
        <v>9000</v>
      </c>
      <c r="F116" s="50"/>
      <c r="G116" s="29"/>
      <c r="H116" s="25"/>
      <c r="I116" s="65"/>
      <c r="J116" s="66"/>
      <c r="K116" s="66"/>
      <c r="L116" s="66"/>
      <c r="M116" s="66"/>
      <c r="N116" s="66"/>
      <c r="O116" s="66"/>
      <c r="P116" s="67">
        <v>9000</v>
      </c>
      <c r="Q116" s="66"/>
      <c r="R116" s="25"/>
      <c r="S116" s="36"/>
      <c r="T116" s="53">
        <f t="shared" ref="T116:T150" si="10">T115-E116</f>
        <v>28370</v>
      </c>
      <c r="U116" s="42"/>
      <c r="V116" s="42"/>
      <c r="W116" s="42"/>
      <c r="X116" s="42"/>
      <c r="Y116" s="42"/>
    </row>
    <row r="117" ht="15.75" customHeight="1" spans="1:25" x14ac:dyDescent="0.25">
      <c r="A117" s="25" t="s">
        <v>716</v>
      </c>
      <c r="B117" s="35">
        <v>654</v>
      </c>
      <c r="C117" s="25" t="s">
        <v>717</v>
      </c>
      <c r="D117" s="25" t="s">
        <v>557</v>
      </c>
      <c r="E117" s="53">
        <v>4900</v>
      </c>
      <c r="F117" s="50"/>
      <c r="G117" s="25"/>
      <c r="H117" s="35"/>
      <c r="I117" s="53"/>
      <c r="J117" s="66"/>
      <c r="K117" s="66"/>
      <c r="L117" s="66"/>
      <c r="M117" s="66"/>
      <c r="N117" s="66"/>
      <c r="O117" s="66"/>
      <c r="P117" s="66"/>
      <c r="Q117" s="66"/>
      <c r="R117" s="25">
        <v>4900</v>
      </c>
      <c r="S117" s="55"/>
      <c r="T117" s="53">
        <f t="shared" si="10"/>
        <v>23470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>
        <v>655</v>
      </c>
      <c r="C118" s="25" t="s">
        <v>630</v>
      </c>
      <c r="D118" s="25" t="s">
        <v>452</v>
      </c>
      <c r="E118" s="53">
        <v>3600</v>
      </c>
      <c r="F118" s="50"/>
      <c r="G118" s="35">
        <v>36</v>
      </c>
      <c r="H118" s="25">
        <v>100</v>
      </c>
      <c r="I118" s="65">
        <f t="shared" ref="I118:I129" si="11">H118*G118</f>
        <v>3600</v>
      </c>
      <c r="J118" s="66"/>
      <c r="K118" s="66"/>
      <c r="L118" s="67"/>
      <c r="M118" s="66"/>
      <c r="N118" s="66"/>
      <c r="O118" s="66"/>
      <c r="P118" s="66"/>
      <c r="Q118" s="66"/>
      <c r="R118" s="25"/>
      <c r="S118" s="55"/>
      <c r="T118" s="53">
        <f t="shared" si="10"/>
        <v>19870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>
        <v>656</v>
      </c>
      <c r="C119" s="25" t="s">
        <v>630</v>
      </c>
      <c r="D119" s="25" t="s">
        <v>718</v>
      </c>
      <c r="E119" s="53">
        <v>2700</v>
      </c>
      <c r="F119" s="50"/>
      <c r="G119" s="35">
        <v>27</v>
      </c>
      <c r="H119" s="25">
        <v>100</v>
      </c>
      <c r="I119" s="65">
        <f t="shared" si="11"/>
        <v>2700</v>
      </c>
      <c r="J119" s="66"/>
      <c r="K119" s="66"/>
      <c r="L119" s="66"/>
      <c r="M119" s="67"/>
      <c r="N119" s="66"/>
      <c r="O119" s="66"/>
      <c r="P119" s="66"/>
      <c r="Q119" s="66"/>
      <c r="R119" s="25"/>
      <c r="S119" s="55"/>
      <c r="T119" s="53">
        <f t="shared" si="10"/>
        <v>17170</v>
      </c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>
        <v>657</v>
      </c>
      <c r="C120" s="25" t="s">
        <v>630</v>
      </c>
      <c r="D120" s="25" t="s">
        <v>719</v>
      </c>
      <c r="E120" s="53">
        <v>5200</v>
      </c>
      <c r="F120" s="50"/>
      <c r="G120" s="35">
        <v>52</v>
      </c>
      <c r="H120" s="25">
        <v>100</v>
      </c>
      <c r="I120" s="65">
        <f t="shared" si="11"/>
        <v>5200</v>
      </c>
      <c r="J120" s="66"/>
      <c r="K120" s="66"/>
      <c r="L120" s="66"/>
      <c r="M120" s="66"/>
      <c r="N120" s="66"/>
      <c r="O120" s="66"/>
      <c r="P120" s="67"/>
      <c r="Q120" s="66"/>
      <c r="R120" s="25"/>
      <c r="S120" s="55"/>
      <c r="T120" s="53">
        <f t="shared" si="10"/>
        <v>11970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>
        <v>658</v>
      </c>
      <c r="C121" s="25" t="s">
        <v>630</v>
      </c>
      <c r="D121" s="25" t="s">
        <v>720</v>
      </c>
      <c r="E121" s="53">
        <v>7200</v>
      </c>
      <c r="F121" s="50"/>
      <c r="G121" s="35">
        <v>72</v>
      </c>
      <c r="H121" s="25">
        <v>100</v>
      </c>
      <c r="I121" s="65">
        <f t="shared" si="11"/>
        <v>7200</v>
      </c>
      <c r="J121" s="66"/>
      <c r="K121" s="66"/>
      <c r="L121" s="66"/>
      <c r="M121" s="66"/>
      <c r="N121" s="66"/>
      <c r="O121" s="66"/>
      <c r="P121" s="67"/>
      <c r="Q121" s="66"/>
      <c r="R121" s="25"/>
      <c r="S121" s="55"/>
      <c r="T121" s="53">
        <f t="shared" si="10"/>
        <v>4770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>
        <v>659</v>
      </c>
      <c r="C122" s="25" t="s">
        <v>630</v>
      </c>
      <c r="D122" s="25" t="s">
        <v>395</v>
      </c>
      <c r="E122" s="53">
        <v>1200</v>
      </c>
      <c r="F122" s="50"/>
      <c r="G122" s="35">
        <v>12</v>
      </c>
      <c r="H122" s="25">
        <v>100</v>
      </c>
      <c r="I122" s="65">
        <f t="shared" si="11"/>
        <v>1200</v>
      </c>
      <c r="J122" s="66"/>
      <c r="K122" s="66"/>
      <c r="L122" s="66"/>
      <c r="M122" s="66"/>
      <c r="N122" s="66"/>
      <c r="O122" s="66"/>
      <c r="P122" s="66"/>
      <c r="Q122" s="67"/>
      <c r="R122" s="25"/>
      <c r="S122" s="55"/>
      <c r="T122" s="53">
        <f t="shared" si="10"/>
        <v>3570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>
        <v>660</v>
      </c>
      <c r="C123" s="25" t="s">
        <v>630</v>
      </c>
      <c r="D123" s="25" t="s">
        <v>54</v>
      </c>
      <c r="E123" s="53">
        <v>15600</v>
      </c>
      <c r="F123" s="50"/>
      <c r="G123" s="35">
        <v>156</v>
      </c>
      <c r="H123" s="25">
        <v>100</v>
      </c>
      <c r="I123" s="65">
        <f t="shared" si="11"/>
        <v>15600</v>
      </c>
      <c r="J123" s="66"/>
      <c r="K123" s="66"/>
      <c r="L123" s="66"/>
      <c r="M123" s="66"/>
      <c r="N123" s="66"/>
      <c r="O123" s="66"/>
      <c r="P123" s="67"/>
      <c r="Q123" s="66"/>
      <c r="R123" s="25"/>
      <c r="S123" s="55"/>
      <c r="T123" s="53">
        <f t="shared" si="10"/>
        <v>-12030</v>
      </c>
      <c r="U123" s="42"/>
      <c r="V123" s="42"/>
      <c r="W123" s="42"/>
      <c r="X123" s="42"/>
      <c r="Y123" s="42"/>
    </row>
    <row r="124" ht="15.75" customHeight="1" spans="1:25" x14ac:dyDescent="0.25">
      <c r="A124" s="25" t="s">
        <v>721</v>
      </c>
      <c r="B124" s="35">
        <v>661</v>
      </c>
      <c r="C124" s="25" t="s">
        <v>630</v>
      </c>
      <c r="D124" s="25" t="s">
        <v>722</v>
      </c>
      <c r="E124" s="53">
        <v>7900</v>
      </c>
      <c r="F124" s="50"/>
      <c r="G124" s="35">
        <v>79</v>
      </c>
      <c r="H124" s="25">
        <v>100</v>
      </c>
      <c r="I124" s="65">
        <f t="shared" si="11"/>
        <v>7900</v>
      </c>
      <c r="J124" s="66"/>
      <c r="K124" s="66"/>
      <c r="L124" s="66"/>
      <c r="M124" s="66"/>
      <c r="N124" s="66"/>
      <c r="O124" s="66"/>
      <c r="P124" s="66"/>
      <c r="Q124" s="66"/>
      <c r="R124" s="25"/>
      <c r="S124" s="36"/>
      <c r="T124" s="53">
        <f t="shared" si="10"/>
        <v>-19930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662</v>
      </c>
      <c r="C125" s="25" t="s">
        <v>630</v>
      </c>
      <c r="D125" s="25" t="s">
        <v>54</v>
      </c>
      <c r="E125" s="53">
        <v>19500</v>
      </c>
      <c r="F125" s="50"/>
      <c r="G125" s="35">
        <v>195</v>
      </c>
      <c r="H125" s="25">
        <v>100</v>
      </c>
      <c r="I125" s="65">
        <f t="shared" si="11"/>
        <v>19500</v>
      </c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10"/>
        <v>-39430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663</v>
      </c>
      <c r="C126" s="25" t="s">
        <v>630</v>
      </c>
      <c r="D126" s="25" t="s">
        <v>420</v>
      </c>
      <c r="E126" s="53">
        <v>800</v>
      </c>
      <c r="F126" s="50"/>
      <c r="G126" s="35">
        <v>8</v>
      </c>
      <c r="H126" s="25">
        <v>100</v>
      </c>
      <c r="I126" s="65">
        <f t="shared" si="11"/>
        <v>800</v>
      </c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10"/>
        <v>-40230</v>
      </c>
      <c r="U126" s="42"/>
      <c r="V126" s="42"/>
      <c r="W126" s="42"/>
      <c r="X126" s="42"/>
      <c r="Y126" s="42"/>
    </row>
    <row r="127" ht="15.75" customHeight="1" spans="1:25" x14ac:dyDescent="0.25">
      <c r="A127" s="25" t="s">
        <v>723</v>
      </c>
      <c r="B127" s="35">
        <v>664</v>
      </c>
      <c r="C127" s="25" t="s">
        <v>630</v>
      </c>
      <c r="D127" s="25" t="s">
        <v>724</v>
      </c>
      <c r="E127" s="53">
        <v>3300</v>
      </c>
      <c r="F127" s="50"/>
      <c r="G127" s="35">
        <v>33</v>
      </c>
      <c r="H127" s="25">
        <v>100</v>
      </c>
      <c r="I127" s="65">
        <f t="shared" si="11"/>
        <v>3300</v>
      </c>
      <c r="J127" s="66"/>
      <c r="K127" s="66"/>
      <c r="L127" s="66"/>
      <c r="M127" s="66"/>
      <c r="N127" s="66"/>
      <c r="O127" s="66"/>
      <c r="P127" s="66"/>
      <c r="Q127" s="66"/>
      <c r="R127" s="25"/>
      <c r="S127" s="36"/>
      <c r="T127" s="53">
        <f t="shared" si="10"/>
        <v>-43530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>
        <v>665</v>
      </c>
      <c r="C128" s="25" t="s">
        <v>630</v>
      </c>
      <c r="D128" s="25" t="s">
        <v>54</v>
      </c>
      <c r="E128" s="53">
        <v>8500</v>
      </c>
      <c r="F128" s="50"/>
      <c r="G128" s="35">
        <v>85</v>
      </c>
      <c r="H128" s="25">
        <v>100</v>
      </c>
      <c r="I128" s="65">
        <f t="shared" si="11"/>
        <v>8500</v>
      </c>
      <c r="J128" s="66"/>
      <c r="K128" s="66"/>
      <c r="L128" s="66"/>
      <c r="M128" s="66"/>
      <c r="N128" s="66"/>
      <c r="O128" s="66"/>
      <c r="P128" s="67"/>
      <c r="Q128" s="66"/>
      <c r="R128" s="25"/>
      <c r="S128" s="36"/>
      <c r="T128" s="53">
        <f t="shared" si="10"/>
        <v>-52030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>
        <v>666</v>
      </c>
      <c r="C129" s="25" t="s">
        <v>630</v>
      </c>
      <c r="D129" s="25" t="s">
        <v>200</v>
      </c>
      <c r="E129" s="53">
        <v>63600</v>
      </c>
      <c r="F129" s="50"/>
      <c r="G129" s="35">
        <v>636</v>
      </c>
      <c r="H129" s="25">
        <v>100</v>
      </c>
      <c r="I129" s="65">
        <f t="shared" si="11"/>
        <v>63600</v>
      </c>
      <c r="J129" s="66"/>
      <c r="K129" s="66"/>
      <c r="L129" s="66"/>
      <c r="M129" s="66"/>
      <c r="N129" s="66"/>
      <c r="O129" s="66"/>
      <c r="P129" s="67"/>
      <c r="Q129" s="66"/>
      <c r="R129" s="25"/>
      <c r="S129" s="36"/>
      <c r="T129" s="53">
        <f t="shared" si="10"/>
        <v>-115630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/>
      <c r="C130" s="25"/>
      <c r="D130" s="25"/>
      <c r="E130" s="53"/>
      <c r="F130" s="50"/>
      <c r="G130" s="35"/>
      <c r="H130" s="25"/>
      <c r="I130" s="65"/>
      <c r="J130" s="66"/>
      <c r="K130" s="66"/>
      <c r="L130" s="66"/>
      <c r="M130" s="67"/>
      <c r="N130" s="66"/>
      <c r="O130" s="66"/>
      <c r="P130" s="66"/>
      <c r="Q130" s="66"/>
      <c r="R130" s="25"/>
      <c r="S130" s="36"/>
      <c r="T130" s="53">
        <f t="shared" si="10"/>
        <v>-115630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/>
      <c r="C131" s="25"/>
      <c r="D131" s="25"/>
      <c r="E131" s="53"/>
      <c r="F131" s="68"/>
      <c r="G131" s="35"/>
      <c r="H131" s="35"/>
      <c r="I131" s="53"/>
      <c r="J131" s="66"/>
      <c r="K131" s="66"/>
      <c r="L131" s="66"/>
      <c r="M131" s="66"/>
      <c r="N131" s="66"/>
      <c r="O131" s="66"/>
      <c r="P131" s="66"/>
      <c r="Q131" s="66"/>
      <c r="R131" s="25"/>
      <c r="S131" s="36"/>
      <c r="T131" s="53">
        <f t="shared" si="10"/>
        <v>-115630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/>
      <c r="C132" s="25"/>
      <c r="D132" s="25"/>
      <c r="E132" s="53"/>
      <c r="F132" s="50"/>
      <c r="G132" s="35"/>
      <c r="H132" s="25"/>
      <c r="I132" s="65"/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10"/>
        <v>-115630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/>
      <c r="C133" s="25"/>
      <c r="D133" s="25"/>
      <c r="E133" s="53"/>
      <c r="F133" s="50"/>
      <c r="G133" s="35"/>
      <c r="H133" s="25"/>
      <c r="I133" s="65"/>
      <c r="J133" s="66"/>
      <c r="K133" s="66"/>
      <c r="L133" s="66"/>
      <c r="M133" s="66"/>
      <c r="N133" s="66"/>
      <c r="O133" s="66"/>
      <c r="P133" s="67"/>
      <c r="Q133" s="66"/>
      <c r="R133" s="25"/>
      <c r="S133" s="36"/>
      <c r="T133" s="53">
        <f t="shared" si="10"/>
        <v>-115630</v>
      </c>
      <c r="U133" s="42"/>
      <c r="V133" s="42"/>
      <c r="W133" s="42"/>
      <c r="X133" s="42"/>
      <c r="Y133" s="42"/>
    </row>
    <row r="134" ht="15.75" customHeight="1" spans="1:25" x14ac:dyDescent="0.25">
      <c r="A134" s="25"/>
      <c r="B134" s="35"/>
      <c r="C134" s="25"/>
      <c r="D134" s="25"/>
      <c r="E134" s="53"/>
      <c r="F134" s="50"/>
      <c r="G134" s="35"/>
      <c r="H134" s="25"/>
      <c r="I134" s="65"/>
      <c r="J134" s="66"/>
      <c r="K134" s="66"/>
      <c r="L134" s="66"/>
      <c r="M134" s="67"/>
      <c r="N134" s="66"/>
      <c r="O134" s="66"/>
      <c r="P134" s="66"/>
      <c r="Q134" s="66"/>
      <c r="R134" s="25"/>
      <c r="S134" s="36"/>
      <c r="T134" s="53">
        <f t="shared" si="10"/>
        <v>-115630</v>
      </c>
      <c r="U134" s="42"/>
      <c r="V134" s="42"/>
      <c r="W134" s="42"/>
      <c r="X134" s="42"/>
      <c r="Y134" s="42"/>
    </row>
    <row r="135" ht="15.75" customHeight="1" spans="1:25" x14ac:dyDescent="0.25">
      <c r="A135" s="26"/>
      <c r="B135" s="29"/>
      <c r="C135" s="26"/>
      <c r="D135" s="26"/>
      <c r="E135" s="56"/>
      <c r="F135" s="57"/>
      <c r="G135" s="29"/>
      <c r="H135" s="25"/>
      <c r="I135" s="65"/>
      <c r="J135" s="66"/>
      <c r="K135" s="67"/>
      <c r="L135" s="66"/>
      <c r="M135" s="66"/>
      <c r="N135" s="66"/>
      <c r="O135" s="66"/>
      <c r="P135" s="66"/>
      <c r="Q135" s="66"/>
      <c r="R135" s="25"/>
      <c r="S135" s="36"/>
      <c r="T135" s="53">
        <f t="shared" si="10"/>
        <v>-115630</v>
      </c>
      <c r="U135" s="42"/>
      <c r="V135" s="42"/>
      <c r="W135" s="42"/>
      <c r="X135" s="42"/>
      <c r="Y135" s="42"/>
    </row>
    <row r="136" ht="15.75" customHeight="1" spans="1:25" x14ac:dyDescent="0.25">
      <c r="A136" s="26"/>
      <c r="B136" s="29"/>
      <c r="C136" s="26"/>
      <c r="D136" s="26"/>
      <c r="E136" s="56"/>
      <c r="F136" s="57"/>
      <c r="G136" s="26"/>
      <c r="H136" s="25"/>
      <c r="I136" s="65"/>
      <c r="J136" s="66"/>
      <c r="K136" s="66"/>
      <c r="L136" s="66"/>
      <c r="M136" s="66"/>
      <c r="N136" s="66"/>
      <c r="O136" s="66"/>
      <c r="P136" s="67"/>
      <c r="Q136" s="66"/>
      <c r="R136" s="25"/>
      <c r="S136" s="36"/>
      <c r="T136" s="53">
        <f t="shared" si="10"/>
        <v>-115630</v>
      </c>
      <c r="U136" s="42"/>
      <c r="V136" s="42"/>
      <c r="W136" s="42"/>
      <c r="X136" s="42"/>
      <c r="Y136" s="42"/>
    </row>
    <row r="137" ht="15.75" customHeight="1" spans="1:25" x14ac:dyDescent="0.25">
      <c r="A137" s="26"/>
      <c r="B137" s="29"/>
      <c r="C137" s="26"/>
      <c r="D137" s="26"/>
      <c r="E137" s="56"/>
      <c r="F137" s="57"/>
      <c r="G137" s="26"/>
      <c r="H137" s="25"/>
      <c r="I137" s="65"/>
      <c r="J137" s="66"/>
      <c r="K137" s="66"/>
      <c r="L137" s="66"/>
      <c r="M137" s="66"/>
      <c r="N137" s="66"/>
      <c r="O137" s="66"/>
      <c r="P137" s="66"/>
      <c r="Q137" s="66"/>
      <c r="R137" s="35"/>
      <c r="S137" s="36"/>
      <c r="T137" s="53">
        <f t="shared" si="10"/>
        <v>-115630</v>
      </c>
      <c r="U137" s="42"/>
      <c r="V137" s="42"/>
      <c r="W137" s="42"/>
      <c r="X137" s="42"/>
      <c r="Y137" s="42"/>
    </row>
    <row r="138" ht="15.75" customHeight="1" spans="1:25" x14ac:dyDescent="0.25">
      <c r="A138" s="26"/>
      <c r="B138" s="29"/>
      <c r="C138" s="26"/>
      <c r="D138" s="26"/>
      <c r="E138" s="56"/>
      <c r="F138" s="57"/>
      <c r="G138" s="29"/>
      <c r="H138" s="25"/>
      <c r="I138" s="65"/>
      <c r="J138" s="66"/>
      <c r="K138" s="66"/>
      <c r="L138" s="66"/>
      <c r="M138" s="66"/>
      <c r="N138" s="66"/>
      <c r="O138" s="66"/>
      <c r="P138" s="66"/>
      <c r="Q138" s="66"/>
      <c r="R138" s="25"/>
      <c r="S138" s="36"/>
      <c r="T138" s="53">
        <f t="shared" si="10"/>
        <v>-115630</v>
      </c>
      <c r="U138" s="42"/>
      <c r="V138" s="42"/>
      <c r="W138" s="42"/>
      <c r="X138" s="42"/>
      <c r="Y138" s="42"/>
    </row>
    <row r="139" ht="15.75" customHeight="1" spans="1:25" x14ac:dyDescent="0.25">
      <c r="A139" s="26"/>
      <c r="B139" s="29"/>
      <c r="C139" s="26"/>
      <c r="D139" s="26"/>
      <c r="E139" s="56"/>
      <c r="F139" s="57"/>
      <c r="G139" s="29"/>
      <c r="H139" s="25"/>
      <c r="I139" s="65"/>
      <c r="J139" s="66"/>
      <c r="K139" s="66"/>
      <c r="L139" s="66"/>
      <c r="M139" s="66"/>
      <c r="N139" s="66"/>
      <c r="O139" s="66"/>
      <c r="P139" s="66"/>
      <c r="Q139" s="66"/>
      <c r="R139" s="25"/>
      <c r="S139" s="36"/>
      <c r="T139" s="53">
        <f t="shared" si="10"/>
        <v>-115630</v>
      </c>
      <c r="U139" s="42"/>
      <c r="V139" s="42"/>
      <c r="W139" s="42"/>
      <c r="X139" s="42"/>
      <c r="Y139" s="42"/>
    </row>
    <row r="140" ht="15.75" customHeight="1" spans="1:25" x14ac:dyDescent="0.25">
      <c r="A140" s="26"/>
      <c r="B140" s="29"/>
      <c r="C140" s="26"/>
      <c r="D140" s="26"/>
      <c r="E140" s="56"/>
      <c r="F140" s="57"/>
      <c r="G140" s="29"/>
      <c r="H140" s="25"/>
      <c r="I140" s="65"/>
      <c r="J140" s="66"/>
      <c r="K140" s="66"/>
      <c r="L140" s="66"/>
      <c r="M140" s="66"/>
      <c r="N140" s="66"/>
      <c r="O140" s="66"/>
      <c r="P140" s="67"/>
      <c r="Q140" s="66"/>
      <c r="R140" s="25"/>
      <c r="S140" s="36"/>
      <c r="T140" s="53">
        <f t="shared" si="10"/>
        <v>-115630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/>
      <c r="C141" s="25"/>
      <c r="D141" s="25"/>
      <c r="E141" s="53"/>
      <c r="F141" s="50"/>
      <c r="G141" s="35"/>
      <c r="H141" s="35"/>
      <c r="I141" s="53"/>
      <c r="J141" s="66"/>
      <c r="K141" s="66"/>
      <c r="L141" s="66"/>
      <c r="M141" s="66"/>
      <c r="N141" s="66"/>
      <c r="O141" s="66"/>
      <c r="P141" s="66"/>
      <c r="Q141" s="66"/>
      <c r="R141" s="25"/>
      <c r="S141" s="36"/>
      <c r="T141" s="53">
        <f t="shared" si="10"/>
        <v>-115630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/>
      <c r="C142" s="25"/>
      <c r="D142" s="25"/>
      <c r="E142" s="53"/>
      <c r="F142" s="50"/>
      <c r="G142" s="35"/>
      <c r="H142" s="25"/>
      <c r="I142" s="65"/>
      <c r="J142" s="66"/>
      <c r="K142" s="66"/>
      <c r="L142" s="66"/>
      <c r="M142" s="67"/>
      <c r="N142" s="66"/>
      <c r="O142" s="66"/>
      <c r="P142" s="66"/>
      <c r="Q142" s="66"/>
      <c r="R142" s="25"/>
      <c r="S142" s="36"/>
      <c r="T142" s="53">
        <f t="shared" si="10"/>
        <v>-115630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/>
      <c r="C143" s="25"/>
      <c r="D143" s="25"/>
      <c r="E143" s="53"/>
      <c r="F143" s="50"/>
      <c r="G143" s="35"/>
      <c r="H143" s="25"/>
      <c r="I143" s="65"/>
      <c r="J143" s="66"/>
      <c r="K143" s="66"/>
      <c r="L143" s="66"/>
      <c r="M143" s="66"/>
      <c r="N143" s="66"/>
      <c r="O143" s="66"/>
      <c r="P143" s="66"/>
      <c r="Q143" s="66"/>
      <c r="R143" s="25"/>
      <c r="S143" s="36"/>
      <c r="T143" s="53">
        <f t="shared" si="10"/>
        <v>-115630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/>
      <c r="C144" s="25"/>
      <c r="D144" s="25"/>
      <c r="E144" s="53"/>
      <c r="F144" s="50"/>
      <c r="G144" s="25"/>
      <c r="H144" s="25"/>
      <c r="I144" s="65"/>
      <c r="J144" s="66"/>
      <c r="K144" s="66"/>
      <c r="L144" s="66"/>
      <c r="M144" s="66"/>
      <c r="N144" s="66"/>
      <c r="O144" s="66"/>
      <c r="P144" s="66"/>
      <c r="Q144" s="67"/>
      <c r="R144" s="25"/>
      <c r="S144" s="36"/>
      <c r="T144" s="53">
        <f t="shared" si="10"/>
        <v>-115630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/>
      <c r="C145" s="25"/>
      <c r="D145" s="25"/>
      <c r="E145" s="53"/>
      <c r="F145" s="68"/>
      <c r="G145" s="35"/>
      <c r="H145" s="35"/>
      <c r="I145" s="53"/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10"/>
        <v>-115630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3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10"/>
        <v>-115630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/>
      <c r="C147" s="25"/>
      <c r="D147" s="25"/>
      <c r="E147" s="53"/>
      <c r="F147" s="50"/>
      <c r="G147" s="25"/>
      <c r="H147" s="35"/>
      <c r="I147" s="53"/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10"/>
        <v>-115630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/>
      <c r="D148" s="25"/>
      <c r="E148" s="53"/>
      <c r="F148" s="50"/>
      <c r="G148" s="25"/>
      <c r="H148" s="25"/>
      <c r="I148" s="65"/>
      <c r="J148" s="66"/>
      <c r="K148" s="66"/>
      <c r="L148" s="66"/>
      <c r="M148" s="66"/>
      <c r="N148" s="66"/>
      <c r="O148" s="66"/>
      <c r="P148" s="66"/>
      <c r="Q148" s="66"/>
      <c r="R148" s="25"/>
      <c r="S148" s="36"/>
      <c r="T148" s="53">
        <f t="shared" si="10"/>
        <v>-115630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35"/>
      <c r="H149" s="25"/>
      <c r="I149" s="65"/>
      <c r="J149" s="66"/>
      <c r="K149" s="66"/>
      <c r="L149" s="66"/>
      <c r="M149" s="66"/>
      <c r="N149" s="66"/>
      <c r="O149" s="66"/>
      <c r="P149" s="67"/>
      <c r="Q149" s="66"/>
      <c r="R149" s="25"/>
      <c r="S149" s="36"/>
      <c r="T149" s="53">
        <f t="shared" si="10"/>
        <v>-115630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50"/>
      <c r="G150" s="35"/>
      <c r="H150" s="35"/>
      <c r="I150" s="53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10"/>
        <v>-115630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68"/>
      <c r="G151" s="2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>T150-E151+60000</f>
        <v>-55630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ref="T152:T177" si="12">T151-E152</f>
        <v>-55630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12"/>
        <v>-55630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12"/>
        <v>-55630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12"/>
        <v>-55630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6"/>
      <c r="K156" s="66"/>
      <c r="L156" s="66"/>
      <c r="M156" s="66"/>
      <c r="N156" s="66"/>
      <c r="O156" s="66"/>
      <c r="P156" s="66"/>
      <c r="Q156" s="66"/>
      <c r="R156" s="25"/>
      <c r="S156" s="36"/>
      <c r="T156" s="53">
        <f t="shared" si="12"/>
        <v>-55630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35"/>
      <c r="H157" s="25"/>
      <c r="I157" s="65"/>
      <c r="J157" s="67"/>
      <c r="K157" s="67"/>
      <c r="L157" s="67"/>
      <c r="M157" s="67"/>
      <c r="N157" s="67"/>
      <c r="O157" s="67"/>
      <c r="P157" s="67"/>
      <c r="Q157" s="67"/>
      <c r="R157" s="53"/>
      <c r="S157" s="36"/>
      <c r="T157" s="53">
        <f t="shared" si="12"/>
        <v>-55630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2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6">
        <f t="shared" si="12"/>
        <v>-55630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6">
        <f t="shared" si="12"/>
        <v>-55630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6">
        <f t="shared" si="12"/>
        <v>-55630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5"/>
      <c r="D161" s="25"/>
      <c r="E161" s="53"/>
      <c r="F161" s="50"/>
      <c r="G161" s="3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6">
        <f t="shared" si="12"/>
        <v>-55630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12"/>
        <v>-55630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3"/>
      <c r="D163" s="25"/>
      <c r="E163" s="53"/>
      <c r="F163" s="50"/>
      <c r="G163" s="2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12"/>
        <v>-55630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12"/>
        <v>-55630</v>
      </c>
      <c r="U164" s="42"/>
      <c r="V164" s="42"/>
      <c r="W164" s="42"/>
      <c r="X164" s="42"/>
      <c r="Y164" s="42"/>
    </row>
    <row r="165" ht="15.75" customHeight="1" spans="1:25" x14ac:dyDescent="0.25">
      <c r="A165" s="25"/>
      <c r="B165" s="35"/>
      <c r="C165" s="25"/>
      <c r="D165" s="23"/>
      <c r="E165" s="54"/>
      <c r="F165" s="50"/>
      <c r="G165" s="35"/>
      <c r="H165" s="26"/>
      <c r="I165" s="70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12"/>
        <v>-55630</v>
      </c>
      <c r="U165" s="42"/>
      <c r="V165" s="42"/>
      <c r="W165" s="42"/>
      <c r="X165" s="42"/>
      <c r="Y165" s="42"/>
    </row>
    <row r="166" ht="15.75" customHeight="1" spans="1:25" x14ac:dyDescent="0.25">
      <c r="A166" s="40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12"/>
        <v>-55630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2"/>
      <c r="D167" s="40"/>
      <c r="E167" s="53"/>
      <c r="F167" s="50"/>
      <c r="G167" s="25"/>
      <c r="H167" s="2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12"/>
        <v>-55630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3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12"/>
        <v>-55630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72"/>
      <c r="E169" s="54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12"/>
        <v>-55630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12"/>
        <v>-55630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72"/>
      <c r="D171" s="40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12"/>
        <v>-55630</v>
      </c>
      <c r="U171" s="42"/>
      <c r="V171" s="42"/>
      <c r="W171" s="42"/>
      <c r="X171" s="42"/>
      <c r="Y171" s="42"/>
    </row>
    <row r="172" ht="15.75" customHeight="1" spans="1:25" x14ac:dyDescent="0.25">
      <c r="A172" s="25"/>
      <c r="B172" s="35"/>
      <c r="C172" s="40"/>
      <c r="D172" s="72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12"/>
        <v>-55630</v>
      </c>
      <c r="U172" s="42"/>
      <c r="V172" s="42"/>
      <c r="W172" s="42"/>
      <c r="X172" s="42"/>
      <c r="Y172" s="42"/>
    </row>
    <row r="173" ht="15.75" customHeight="1" spans="1:25" x14ac:dyDescent="0.25">
      <c r="A173" s="40"/>
      <c r="B173" s="35"/>
      <c r="C173" s="40"/>
      <c r="D173" s="40"/>
      <c r="E173" s="53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12"/>
        <v>-55630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40"/>
      <c r="D174" s="72"/>
      <c r="E174" s="54"/>
      <c r="F174" s="50"/>
      <c r="G174" s="35"/>
      <c r="H174" s="35"/>
      <c r="I174" s="53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12"/>
        <v>-55630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3"/>
      <c r="E175" s="54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12"/>
        <v>-55630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12"/>
        <v>-55630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50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 t="shared" si="12"/>
        <v>-55630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3"/>
      <c r="D178" s="25"/>
      <c r="E178" s="53"/>
      <c r="F178" s="68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>T177-E178+16000</f>
        <v>-39630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ref="T179:T180" si="13">T178-E179</f>
        <v>-39630</v>
      </c>
      <c r="U179" s="42"/>
      <c r="V179" s="42"/>
      <c r="W179" s="42"/>
      <c r="X179" s="42"/>
      <c r="Y179" s="42"/>
    </row>
    <row r="180" ht="15.75" customHeight="1" spans="1:25" x14ac:dyDescent="0.25">
      <c r="A180" s="25"/>
      <c r="B180" s="35"/>
      <c r="C180" s="25"/>
      <c r="D180" s="25"/>
      <c r="E180" s="53"/>
      <c r="F180" s="57"/>
      <c r="G180" s="26"/>
      <c r="H180" s="26"/>
      <c r="I180" s="70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 t="shared" si="13"/>
        <v>-39630</v>
      </c>
      <c r="U180" s="42"/>
      <c r="V180" s="42"/>
      <c r="W180" s="42"/>
      <c r="X180" s="42"/>
      <c r="Y180" s="42"/>
    </row>
    <row r="181" ht="15.75" customHeight="1" spans="1:25" x14ac:dyDescent="0.25">
      <c r="A181" s="40"/>
      <c r="B181" s="25"/>
      <c r="C181" s="40"/>
      <c r="D181" s="25"/>
      <c r="E181" s="53"/>
      <c r="F181" s="68"/>
      <c r="G181" s="35"/>
      <c r="H181" s="35"/>
      <c r="I181" s="53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>T180-E181+120000</f>
        <v>80370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ref="T182:T214" si="14">T181-E182</f>
        <v>80370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70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14"/>
        <v>80370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56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14"/>
        <v>80370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70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14"/>
        <v>80370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56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14"/>
        <v>80370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14"/>
        <v>80370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6"/>
      <c r="H188" s="26"/>
      <c r="I188" s="70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14"/>
        <v>80370</v>
      </c>
      <c r="U188" s="42"/>
      <c r="V188" s="42"/>
      <c r="W188" s="42"/>
      <c r="X188" s="42"/>
      <c r="Y188" s="42"/>
    </row>
    <row r="189" ht="15.75" customHeight="1" spans="1:25" x14ac:dyDescent="0.25">
      <c r="A189" s="26"/>
      <c r="B189" s="29"/>
      <c r="C189" s="38"/>
      <c r="D189" s="38"/>
      <c r="E189" s="56"/>
      <c r="F189" s="57"/>
      <c r="G189" s="29"/>
      <c r="H189" s="29"/>
      <c r="I189" s="56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14"/>
        <v>80370</v>
      </c>
      <c r="U189" s="42"/>
      <c r="V189" s="42"/>
      <c r="W189" s="42"/>
      <c r="X189" s="42"/>
      <c r="Y189" s="42"/>
    </row>
    <row r="190" ht="15.75" customHeight="1" spans="1:25" x14ac:dyDescent="0.25">
      <c r="A190" s="40"/>
      <c r="B190" s="35"/>
      <c r="C190" s="40"/>
      <c r="D190" s="40"/>
      <c r="E190" s="53"/>
      <c r="F190" s="50"/>
      <c r="G190" s="25"/>
      <c r="H190" s="25"/>
      <c r="I190" s="65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14"/>
        <v>80370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53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14"/>
        <v>80370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14"/>
        <v>80370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14"/>
        <v>80370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40"/>
      <c r="D194" s="40"/>
      <c r="E194" s="53"/>
      <c r="F194" s="50"/>
      <c r="G194" s="35"/>
      <c r="H194" s="35"/>
      <c r="I194" s="53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14"/>
        <v>80370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14"/>
        <v>80370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2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14"/>
        <v>80370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14"/>
        <v>80370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14"/>
        <v>80370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14"/>
        <v>80370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14"/>
        <v>80370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3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14"/>
        <v>80370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14"/>
        <v>80370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2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14"/>
        <v>80370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14"/>
        <v>80370</v>
      </c>
      <c r="U204" s="42"/>
      <c r="V204" s="42"/>
      <c r="W204" s="42"/>
      <c r="X204" s="42"/>
      <c r="Y204" s="42"/>
    </row>
    <row r="205" ht="15.75" customHeight="1" spans="1:25" x14ac:dyDescent="0.25">
      <c r="A205" s="25"/>
      <c r="B205" s="35"/>
      <c r="C205" s="25"/>
      <c r="D205" s="25"/>
      <c r="E205" s="53"/>
      <c r="F205" s="50"/>
      <c r="G205" s="3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14"/>
        <v>80370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2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14"/>
        <v>80370</v>
      </c>
      <c r="U206" s="42"/>
      <c r="V206" s="42"/>
      <c r="W206" s="42"/>
      <c r="X206" s="42"/>
      <c r="Y206" s="42"/>
    </row>
    <row r="207" ht="15.75" customHeight="1" spans="1:25" x14ac:dyDescent="0.25">
      <c r="A207" s="26"/>
      <c r="B207" s="35"/>
      <c r="C207" s="25"/>
      <c r="D207" s="25"/>
      <c r="E207" s="53"/>
      <c r="F207" s="50"/>
      <c r="G207" s="35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14"/>
        <v>80370</v>
      </c>
      <c r="U207" s="42"/>
      <c r="V207" s="42"/>
      <c r="W207" s="42"/>
      <c r="X207" s="42"/>
      <c r="Y207" s="42"/>
    </row>
    <row r="208" ht="15.75" customHeight="1" spans="1:25" x14ac:dyDescent="0.25">
      <c r="A208" s="12"/>
      <c r="B208" s="26"/>
      <c r="C208" s="26"/>
      <c r="D208" s="26"/>
      <c r="E208" s="70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14"/>
        <v>80370</v>
      </c>
      <c r="U208" s="42"/>
      <c r="V208" s="42"/>
      <c r="W208" s="42"/>
      <c r="X208" s="42"/>
      <c r="Y208" s="42"/>
    </row>
    <row r="209" ht="15.75" customHeight="1" spans="1:25" x14ac:dyDescent="0.25">
      <c r="A209" s="38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14"/>
        <v>80370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14"/>
        <v>80370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6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14"/>
        <v>80370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14"/>
        <v>80370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14"/>
        <v>80370</v>
      </c>
      <c r="U213" s="42"/>
      <c r="V213" s="42"/>
      <c r="W213" s="42"/>
      <c r="X213" s="42"/>
      <c r="Y213" s="42"/>
    </row>
    <row r="214" ht="15.75" customHeight="1" spans="1:25" x14ac:dyDescent="0.25">
      <c r="A214" s="26"/>
      <c r="B214" s="29"/>
      <c r="C214" s="38"/>
      <c r="D214" s="38"/>
      <c r="E214" s="56"/>
      <c r="F214" s="57"/>
      <c r="G214" s="29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 t="shared" si="14"/>
        <v>80370</v>
      </c>
      <c r="U214" s="42"/>
      <c r="V214" s="42"/>
      <c r="W214" s="42"/>
      <c r="X214" s="42"/>
      <c r="Y214" s="42"/>
    </row>
    <row r="215" ht="15.75" customHeight="1" spans="1:25" x14ac:dyDescent="0.25">
      <c r="A215" s="40"/>
      <c r="B215" s="35"/>
      <c r="C215" s="40"/>
      <c r="D215" s="25"/>
      <c r="E215" s="53"/>
      <c r="F215" s="68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>T214-E215+75000</f>
        <v>155370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40"/>
      <c r="D216" s="40"/>
      <c r="E216" s="53"/>
      <c r="F216" s="50"/>
      <c r="G216" s="35"/>
      <c r="H216" s="26"/>
      <c r="I216" s="70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ref="T216:T227" si="15">T215-E216</f>
        <v>155370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35"/>
      <c r="I217" s="53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15"/>
        <v>155370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15"/>
        <v>155370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15"/>
        <v>155370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15"/>
        <v>155370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15"/>
        <v>155370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3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15"/>
        <v>155370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15"/>
        <v>155370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15"/>
        <v>155370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15"/>
        <v>155370</v>
      </c>
      <c r="U225" s="42"/>
      <c r="V225" s="42"/>
      <c r="W225" s="42"/>
      <c r="X225" s="42"/>
      <c r="Y225" s="42"/>
    </row>
    <row r="226" ht="15.75" customHeight="1" spans="1:25" x14ac:dyDescent="0.25">
      <c r="A226" s="25"/>
      <c r="B226" s="35"/>
      <c r="C226" s="25"/>
      <c r="D226" s="25"/>
      <c r="E226" s="53"/>
      <c r="F226" s="50"/>
      <c r="G226" s="25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15"/>
        <v>155370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57"/>
      <c r="G227" s="29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 t="shared" si="15"/>
        <v>155370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69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>T227-E228+111000</f>
        <v>266370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ref="T229:T258" si="16">T228-E229</f>
        <v>266370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16"/>
        <v>266370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16"/>
        <v>266370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16"/>
        <v>266370</v>
      </c>
      <c r="U232" s="42"/>
      <c r="V232" s="42"/>
      <c r="W232" s="42"/>
      <c r="X232" s="42"/>
      <c r="Y232" s="42"/>
    </row>
    <row r="233" ht="15.75" customHeight="1" spans="1:25" x14ac:dyDescent="0.25">
      <c r="A233" s="26"/>
      <c r="B233" s="29"/>
      <c r="C233" s="26"/>
      <c r="D233" s="26"/>
      <c r="E233" s="56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16"/>
        <v>266370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16"/>
        <v>266370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16"/>
        <v>266370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16"/>
        <v>266370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16"/>
        <v>266370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16"/>
        <v>266370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16"/>
        <v>266370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16"/>
        <v>266370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16"/>
        <v>266370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7"/>
      <c r="G242" s="26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16"/>
        <v>266370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16"/>
        <v>266370</v>
      </c>
      <c r="U243" s="42"/>
      <c r="V243" s="42"/>
      <c r="W243" s="42"/>
      <c r="X243" s="42"/>
      <c r="Y243" s="42"/>
    </row>
    <row r="244" ht="15.75" customHeight="1" spans="1:25" x14ac:dyDescent="0.25">
      <c r="A244" s="25"/>
      <c r="B244" s="35"/>
      <c r="C244" s="25"/>
      <c r="D244" s="25"/>
      <c r="E244" s="53"/>
      <c r="F244" s="50"/>
      <c r="G244" s="35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16"/>
        <v>266370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16"/>
        <v>266370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16"/>
        <v>266370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16"/>
        <v>266370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16"/>
        <v>266370</v>
      </c>
      <c r="U248" s="42"/>
      <c r="V248" s="42"/>
      <c r="W248" s="42"/>
      <c r="X248" s="42"/>
      <c r="Y248" s="42"/>
    </row>
    <row r="249" ht="15.75" customHeight="1" spans="1:25" x14ac:dyDescent="0.25">
      <c r="A249" s="26"/>
      <c r="B249" s="26"/>
      <c r="C249" s="26"/>
      <c r="D249" s="26"/>
      <c r="E249" s="70"/>
      <c r="F249" s="57"/>
      <c r="G249" s="26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16"/>
        <v>266370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16"/>
        <v>266370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16"/>
        <v>266370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3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16"/>
        <v>266370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2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16"/>
        <v>266370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16"/>
        <v>266370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16"/>
        <v>266370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16"/>
        <v>266370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3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16"/>
        <v>266370</v>
      </c>
      <c r="U257" s="42"/>
      <c r="V257" s="42"/>
      <c r="W257" s="42"/>
      <c r="X257" s="42"/>
      <c r="Y257" s="42"/>
    </row>
    <row r="258" ht="15.75" customHeight="1" spans="1:25" x14ac:dyDescent="0.25">
      <c r="A258" s="25"/>
      <c r="B258" s="35"/>
      <c r="C258" s="25"/>
      <c r="D258" s="25"/>
      <c r="E258" s="53"/>
      <c r="F258" s="50"/>
      <c r="G258" s="25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 t="shared" si="16"/>
        <v>266370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69"/>
      <c r="G259" s="26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>T258-E259+45000</f>
        <v>311370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9"/>
      <c r="C260" s="26"/>
      <c r="D260" s="26"/>
      <c r="E260" s="56"/>
      <c r="F260" s="57"/>
      <c r="G260" s="29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ref="T260:T262" si="17">T259-E260</f>
        <v>311370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17"/>
        <v>311370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56">
        <f t="shared" si="17"/>
        <v>311370</v>
      </c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26"/>
      <c r="B298" s="26"/>
      <c r="C298" s="26"/>
      <c r="D298" s="26"/>
      <c r="E298" s="70"/>
      <c r="F298" s="57"/>
      <c r="G298" s="26"/>
      <c r="H298" s="26"/>
      <c r="I298" s="70"/>
      <c r="J298" s="71"/>
      <c r="K298" s="71"/>
      <c r="L298" s="71"/>
      <c r="M298" s="71"/>
      <c r="N298" s="71"/>
      <c r="O298" s="71"/>
      <c r="P298" s="71"/>
      <c r="Q298" s="71"/>
      <c r="R298" s="26"/>
      <c r="S298" s="37"/>
      <c r="T298" s="26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spans="1:25" x14ac:dyDescent="0.25">
      <c r="A462" s="42"/>
      <c r="B462" s="42"/>
      <c r="C462" s="42"/>
      <c r="D462" s="42"/>
      <c r="E462" s="58"/>
      <c r="F462" s="43"/>
      <c r="G462" s="42"/>
      <c r="H462" s="42"/>
      <c r="I462" s="58"/>
      <c r="J462" s="59"/>
      <c r="K462" s="59"/>
      <c r="L462" s="59"/>
      <c r="M462" s="59"/>
      <c r="N462" s="59"/>
      <c r="O462" s="59"/>
      <c r="P462" s="59"/>
      <c r="Q462" s="59"/>
      <c r="R462" s="42"/>
      <c r="S462" s="44"/>
      <c r="T462" s="42"/>
      <c r="U462" s="42"/>
      <c r="V462" s="42"/>
      <c r="W462" s="42"/>
      <c r="X462" s="42"/>
      <c r="Y462" s="42"/>
    </row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3:I3"/>
    <mergeCell ref="A3:A4"/>
    <mergeCell ref="B3:B4"/>
    <mergeCell ref="C3:C4"/>
    <mergeCell ref="D3:D4"/>
    <mergeCell ref="E3:E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xSplit="5" ySplit="3" topLeftCell="F4" activePane="bottomRight" state="frozen"/>
      <selection pane="bottomRight" activeCell="F4" sqref="F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28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4" max="14" width="11.6640625" customWidth="1"/>
    <col min="15" max="15" width="10.21875" customWidth="1"/>
    <col min="16" max="16" width="11.33203125" customWidth="1"/>
    <col min="17" max="17" width="10.44140625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725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-115630</v>
      </c>
      <c r="U3" s="42"/>
      <c r="V3" s="42"/>
      <c r="W3" s="42"/>
      <c r="X3" s="42"/>
      <c r="Y3" s="42"/>
    </row>
    <row r="4" ht="15.75" customHeight="1" spans="1:25" x14ac:dyDescent="0.25">
      <c r="A4" s="25"/>
      <c r="B4" s="35">
        <v>667</v>
      </c>
      <c r="C4" s="25" t="s">
        <v>726</v>
      </c>
      <c r="D4" s="25"/>
      <c r="E4" s="53"/>
      <c r="F4" s="68">
        <v>200000</v>
      </c>
      <c r="G4" s="35"/>
      <c r="H4" s="35"/>
      <c r="I4" s="53"/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>T3-E4+200000</f>
        <v>84370</v>
      </c>
      <c r="U4" s="42"/>
      <c r="V4" s="42"/>
      <c r="W4" s="42"/>
      <c r="X4" s="42"/>
      <c r="Y4" s="42"/>
    </row>
    <row r="5" ht="15.75" customHeight="1" spans="1:25" x14ac:dyDescent="0.25">
      <c r="A5" s="25"/>
      <c r="B5" s="35">
        <v>668</v>
      </c>
      <c r="C5" s="25" t="s">
        <v>13</v>
      </c>
      <c r="D5" s="25" t="s">
        <v>727</v>
      </c>
      <c r="E5" s="53">
        <v>10000</v>
      </c>
      <c r="F5" s="50"/>
      <c r="G5" s="35"/>
      <c r="H5" s="35"/>
      <c r="I5" s="53"/>
      <c r="J5" s="66"/>
      <c r="K5" s="66"/>
      <c r="L5" s="66"/>
      <c r="M5" s="66"/>
      <c r="N5" s="66"/>
      <c r="O5" s="66"/>
      <c r="P5" s="66"/>
      <c r="Q5" s="66">
        <v>10000</v>
      </c>
      <c r="R5" s="25"/>
      <c r="S5" s="36"/>
      <c r="T5" s="53">
        <f t="shared" ref="T5:T29" si="0">T4-E5</f>
        <v>74370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669</v>
      </c>
      <c r="C6" s="25" t="s">
        <v>300</v>
      </c>
      <c r="D6" s="25" t="s">
        <v>728</v>
      </c>
      <c r="E6" s="53">
        <v>3500</v>
      </c>
      <c r="F6" s="50"/>
      <c r="G6" s="35"/>
      <c r="H6" s="35"/>
      <c r="I6" s="53"/>
      <c r="J6" s="66"/>
      <c r="K6" s="66">
        <v>3500</v>
      </c>
      <c r="L6" s="66"/>
      <c r="M6" s="66"/>
      <c r="N6" s="66"/>
      <c r="O6" s="66"/>
      <c r="P6" s="66"/>
      <c r="Q6" s="66"/>
      <c r="R6" s="25"/>
      <c r="S6" s="36"/>
      <c r="T6" s="53">
        <f t="shared" si="0"/>
        <v>70870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670</v>
      </c>
      <c r="C7" s="25" t="s">
        <v>57</v>
      </c>
      <c r="D7" s="25" t="s">
        <v>385</v>
      </c>
      <c r="E7" s="53">
        <v>380</v>
      </c>
      <c r="F7" s="50"/>
      <c r="G7" s="25"/>
      <c r="H7" s="35"/>
      <c r="I7" s="53"/>
      <c r="J7" s="66"/>
      <c r="K7" s="66"/>
      <c r="L7" s="66"/>
      <c r="M7" s="67"/>
      <c r="N7" s="66"/>
      <c r="O7" s="66"/>
      <c r="P7" s="66">
        <v>380</v>
      </c>
      <c r="Q7" s="66"/>
      <c r="R7" s="25"/>
      <c r="S7" s="36"/>
      <c r="T7" s="53">
        <f t="shared" si="0"/>
        <v>70490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671</v>
      </c>
      <c r="C8" s="25" t="s">
        <v>559</v>
      </c>
      <c r="D8" s="25" t="s">
        <v>54</v>
      </c>
      <c r="E8" s="53">
        <v>6000</v>
      </c>
      <c r="F8" s="50"/>
      <c r="G8" s="35">
        <v>60</v>
      </c>
      <c r="H8" s="25">
        <v>100</v>
      </c>
      <c r="I8" s="53">
        <f t="shared" ref="I8:I19" si="1">H8*G8</f>
        <v>6000</v>
      </c>
      <c r="J8" s="66"/>
      <c r="K8" s="66"/>
      <c r="L8" s="66"/>
      <c r="M8" s="66"/>
      <c r="N8" s="66"/>
      <c r="O8" s="66"/>
      <c r="P8" s="67"/>
      <c r="Q8" s="66"/>
      <c r="R8" s="25"/>
      <c r="S8" s="36"/>
      <c r="T8" s="53">
        <f t="shared" si="0"/>
        <v>64490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672</v>
      </c>
      <c r="C9" s="25" t="s">
        <v>676</v>
      </c>
      <c r="D9" s="25" t="s">
        <v>618</v>
      </c>
      <c r="E9" s="53">
        <v>25700</v>
      </c>
      <c r="F9" s="50"/>
      <c r="G9" s="35">
        <v>257</v>
      </c>
      <c r="H9" s="25">
        <v>100</v>
      </c>
      <c r="I9" s="53">
        <f t="shared" si="1"/>
        <v>25700</v>
      </c>
      <c r="J9" s="66"/>
      <c r="K9" s="66"/>
      <c r="L9" s="66"/>
      <c r="M9" s="66"/>
      <c r="N9" s="66"/>
      <c r="O9" s="66"/>
      <c r="P9" s="66"/>
      <c r="Q9" s="66"/>
      <c r="R9" s="25"/>
      <c r="S9" s="36"/>
      <c r="T9" s="53">
        <f t="shared" si="0"/>
        <v>38790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673</v>
      </c>
      <c r="C10" s="25" t="s">
        <v>676</v>
      </c>
      <c r="D10" s="25" t="s">
        <v>420</v>
      </c>
      <c r="E10" s="53">
        <v>1600</v>
      </c>
      <c r="F10" s="50"/>
      <c r="G10" s="35">
        <v>16</v>
      </c>
      <c r="H10" s="25">
        <v>100</v>
      </c>
      <c r="I10" s="53">
        <f t="shared" si="1"/>
        <v>1600</v>
      </c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 t="shared" si="0"/>
        <v>37190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674</v>
      </c>
      <c r="C11" s="25" t="s">
        <v>676</v>
      </c>
      <c r="D11" s="25" t="s">
        <v>54</v>
      </c>
      <c r="E11" s="53">
        <v>7500</v>
      </c>
      <c r="F11" s="50"/>
      <c r="G11" s="35">
        <v>75</v>
      </c>
      <c r="H11" s="25">
        <v>100</v>
      </c>
      <c r="I11" s="53">
        <f t="shared" si="1"/>
        <v>7500</v>
      </c>
      <c r="J11" s="66"/>
      <c r="K11" s="66"/>
      <c r="L11" s="67"/>
      <c r="M11" s="66"/>
      <c r="N11" s="66"/>
      <c r="O11" s="66"/>
      <c r="P11" s="66"/>
      <c r="Q11" s="66"/>
      <c r="R11" s="25"/>
      <c r="S11" s="36"/>
      <c r="T11" s="53">
        <f t="shared" si="0"/>
        <v>29690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675</v>
      </c>
      <c r="C12" s="25" t="s">
        <v>676</v>
      </c>
      <c r="D12" s="25" t="s">
        <v>420</v>
      </c>
      <c r="E12" s="53">
        <v>1500</v>
      </c>
      <c r="F12" s="50"/>
      <c r="G12" s="35">
        <v>15</v>
      </c>
      <c r="H12" s="25">
        <v>100</v>
      </c>
      <c r="I12" s="53">
        <f t="shared" si="1"/>
        <v>1500</v>
      </c>
      <c r="J12" s="66"/>
      <c r="K12" s="66"/>
      <c r="L12" s="66"/>
      <c r="M12" s="66"/>
      <c r="N12" s="66"/>
      <c r="O12" s="66"/>
      <c r="P12" s="66"/>
      <c r="Q12" s="66"/>
      <c r="R12" s="25"/>
      <c r="S12" s="36"/>
      <c r="T12" s="53">
        <f t="shared" si="0"/>
        <v>28190</v>
      </c>
      <c r="U12" s="42"/>
      <c r="V12" s="42"/>
      <c r="W12" s="42"/>
      <c r="X12" s="42"/>
      <c r="Y12" s="42"/>
    </row>
    <row r="13" ht="15.75" customHeight="1" spans="1:25" x14ac:dyDescent="0.25">
      <c r="A13" s="25" t="s">
        <v>729</v>
      </c>
      <c r="B13" s="35">
        <v>676</v>
      </c>
      <c r="C13" s="25" t="s">
        <v>559</v>
      </c>
      <c r="D13" s="25" t="s">
        <v>420</v>
      </c>
      <c r="E13" s="53">
        <v>1400</v>
      </c>
      <c r="F13" s="50"/>
      <c r="G13" s="35">
        <v>14</v>
      </c>
      <c r="H13" s="25">
        <v>100</v>
      </c>
      <c r="I13" s="53">
        <f t="shared" si="1"/>
        <v>1400</v>
      </c>
      <c r="J13" s="66"/>
      <c r="K13" s="66"/>
      <c r="L13" s="66"/>
      <c r="M13" s="66"/>
      <c r="N13" s="66"/>
      <c r="O13" s="66"/>
      <c r="P13" s="66"/>
      <c r="Q13" s="66"/>
      <c r="R13" s="25"/>
      <c r="S13" s="36"/>
      <c r="T13" s="53">
        <f t="shared" si="0"/>
        <v>26790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5">
        <v>677</v>
      </c>
      <c r="C14" s="25" t="s">
        <v>559</v>
      </c>
      <c r="D14" s="25" t="s">
        <v>54</v>
      </c>
      <c r="E14" s="53">
        <v>10300</v>
      </c>
      <c r="F14" s="50"/>
      <c r="G14" s="35">
        <v>103</v>
      </c>
      <c r="H14" s="25">
        <v>100</v>
      </c>
      <c r="I14" s="53">
        <f t="shared" si="1"/>
        <v>10300</v>
      </c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0"/>
        <v>16490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678</v>
      </c>
      <c r="C15" s="25" t="s">
        <v>676</v>
      </c>
      <c r="D15" s="25" t="s">
        <v>432</v>
      </c>
      <c r="E15" s="53">
        <v>3800</v>
      </c>
      <c r="F15" s="50"/>
      <c r="G15" s="35">
        <v>38</v>
      </c>
      <c r="H15" s="25">
        <v>100</v>
      </c>
      <c r="I15" s="53">
        <f t="shared" si="1"/>
        <v>3800</v>
      </c>
      <c r="J15" s="66"/>
      <c r="K15" s="66"/>
      <c r="L15" s="66"/>
      <c r="M15" s="66"/>
      <c r="N15" s="66"/>
      <c r="O15" s="66"/>
      <c r="P15" s="66"/>
      <c r="Q15" s="67"/>
      <c r="R15" s="25"/>
      <c r="S15" s="36"/>
      <c r="T15" s="53">
        <f t="shared" si="0"/>
        <v>12690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679</v>
      </c>
      <c r="C16" s="25" t="s">
        <v>676</v>
      </c>
      <c r="D16" s="25" t="s">
        <v>54</v>
      </c>
      <c r="E16" s="53">
        <v>18500</v>
      </c>
      <c r="F16" s="50"/>
      <c r="G16" s="35">
        <v>185</v>
      </c>
      <c r="H16" s="25">
        <v>100</v>
      </c>
      <c r="I16" s="53">
        <f t="shared" si="1"/>
        <v>18500</v>
      </c>
      <c r="J16" s="66"/>
      <c r="K16" s="66"/>
      <c r="L16" s="66"/>
      <c r="M16" s="66"/>
      <c r="N16" s="66"/>
      <c r="O16" s="66"/>
      <c r="P16" s="67"/>
      <c r="Q16" s="66"/>
      <c r="R16" s="25"/>
      <c r="S16" s="36"/>
      <c r="T16" s="53">
        <f t="shared" si="0"/>
        <v>-5810</v>
      </c>
      <c r="U16" s="42"/>
      <c r="V16" s="42"/>
      <c r="W16" s="42"/>
      <c r="X16" s="42"/>
      <c r="Y16" s="42"/>
    </row>
    <row r="17" ht="15.75" customHeight="1" spans="1:25" x14ac:dyDescent="0.25">
      <c r="A17" s="25"/>
      <c r="B17" s="35">
        <v>680</v>
      </c>
      <c r="C17" s="25" t="s">
        <v>676</v>
      </c>
      <c r="D17" s="25" t="s">
        <v>730</v>
      </c>
      <c r="E17" s="53">
        <v>6500</v>
      </c>
      <c r="F17" s="50"/>
      <c r="G17" s="35">
        <v>65</v>
      </c>
      <c r="H17" s="25">
        <v>100</v>
      </c>
      <c r="I17" s="53">
        <f t="shared" si="1"/>
        <v>6500</v>
      </c>
      <c r="J17" s="66"/>
      <c r="K17" s="66"/>
      <c r="L17" s="66"/>
      <c r="M17" s="66"/>
      <c r="N17" s="66"/>
      <c r="O17" s="66"/>
      <c r="P17" s="67"/>
      <c r="Q17" s="66"/>
      <c r="R17" s="25"/>
      <c r="S17" s="36"/>
      <c r="T17" s="53">
        <f t="shared" si="0"/>
        <v>-12310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681</v>
      </c>
      <c r="C18" s="25" t="s">
        <v>676</v>
      </c>
      <c r="D18" s="25" t="s">
        <v>420</v>
      </c>
      <c r="E18" s="53">
        <v>1500</v>
      </c>
      <c r="F18" s="50"/>
      <c r="G18" s="35">
        <v>15</v>
      </c>
      <c r="H18" s="25">
        <v>100</v>
      </c>
      <c r="I18" s="53">
        <f t="shared" si="1"/>
        <v>1500</v>
      </c>
      <c r="J18" s="66"/>
      <c r="K18" s="66"/>
      <c r="L18" s="66"/>
      <c r="M18" s="66"/>
      <c r="N18" s="66"/>
      <c r="O18" s="66"/>
      <c r="P18" s="66"/>
      <c r="Q18" s="66"/>
      <c r="R18" s="25"/>
      <c r="S18" s="36"/>
      <c r="T18" s="53">
        <f t="shared" si="0"/>
        <v>-13810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682</v>
      </c>
      <c r="C19" s="25" t="s">
        <v>676</v>
      </c>
      <c r="D19" s="25" t="s">
        <v>196</v>
      </c>
      <c r="E19" s="53">
        <v>10500</v>
      </c>
      <c r="F19" s="50"/>
      <c r="G19" s="35">
        <v>105</v>
      </c>
      <c r="H19" s="25">
        <v>100</v>
      </c>
      <c r="I19" s="53">
        <f t="shared" si="1"/>
        <v>10500</v>
      </c>
      <c r="J19" s="66"/>
      <c r="K19" s="66"/>
      <c r="L19" s="66"/>
      <c r="M19" s="66"/>
      <c r="N19" s="66"/>
      <c r="O19" s="66"/>
      <c r="P19" s="66"/>
      <c r="Q19" s="66"/>
      <c r="R19" s="25"/>
      <c r="S19" s="36"/>
      <c r="T19" s="53">
        <f t="shared" si="0"/>
        <v>-24310</v>
      </c>
      <c r="U19" s="42"/>
      <c r="V19" s="42"/>
      <c r="W19" s="42"/>
      <c r="X19" s="42"/>
      <c r="Y19" s="42"/>
    </row>
    <row r="20" ht="15.75" customHeight="1" spans="1:25" x14ac:dyDescent="0.25">
      <c r="A20" s="25" t="s">
        <v>731</v>
      </c>
      <c r="B20" s="35">
        <v>683</v>
      </c>
      <c r="C20" s="25" t="s">
        <v>732</v>
      </c>
      <c r="D20" s="25" t="s">
        <v>28</v>
      </c>
      <c r="E20" s="53">
        <v>2420</v>
      </c>
      <c r="F20" s="50"/>
      <c r="G20" s="35"/>
      <c r="H20" s="35"/>
      <c r="I20" s="53"/>
      <c r="J20" s="66"/>
      <c r="K20" s="67"/>
      <c r="L20" s="66">
        <v>2420</v>
      </c>
      <c r="M20" s="66"/>
      <c r="N20" s="66"/>
      <c r="O20" s="66"/>
      <c r="P20" s="66"/>
      <c r="Q20" s="66"/>
      <c r="R20" s="25"/>
      <c r="S20" s="36"/>
      <c r="T20" s="53">
        <f t="shared" si="0"/>
        <v>-26730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684</v>
      </c>
      <c r="C21" s="25" t="s">
        <v>733</v>
      </c>
      <c r="D21" s="25" t="s">
        <v>295</v>
      </c>
      <c r="E21" s="53">
        <v>4250</v>
      </c>
      <c r="F21" s="50"/>
      <c r="G21" s="25"/>
      <c r="H21" s="25"/>
      <c r="I21" s="53"/>
      <c r="J21" s="66"/>
      <c r="K21" s="66"/>
      <c r="L21" s="66"/>
      <c r="M21" s="66"/>
      <c r="N21" s="66"/>
      <c r="O21" s="66"/>
      <c r="P21" s="66"/>
      <c r="Q21" s="66"/>
      <c r="R21" s="25">
        <v>4250</v>
      </c>
      <c r="S21" s="36"/>
      <c r="T21" s="53">
        <f t="shared" si="0"/>
        <v>-30980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685</v>
      </c>
      <c r="C22" s="25" t="s">
        <v>676</v>
      </c>
      <c r="D22" s="25" t="s">
        <v>734</v>
      </c>
      <c r="E22" s="53">
        <v>5300</v>
      </c>
      <c r="F22" s="50"/>
      <c r="G22" s="35">
        <v>53</v>
      </c>
      <c r="H22" s="25">
        <v>100</v>
      </c>
      <c r="I22" s="53">
        <f t="shared" ref="I22:I25" si="2">H22*G22</f>
        <v>5300</v>
      </c>
      <c r="J22" s="66"/>
      <c r="K22" s="66"/>
      <c r="L22" s="66"/>
      <c r="M22" s="66"/>
      <c r="N22" s="66"/>
      <c r="O22" s="66"/>
      <c r="P22" s="66"/>
      <c r="Q22" s="66"/>
      <c r="R22" s="25"/>
      <c r="S22" s="36"/>
      <c r="T22" s="53">
        <f t="shared" si="0"/>
        <v>-36280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686</v>
      </c>
      <c r="C23" s="25" t="s">
        <v>676</v>
      </c>
      <c r="D23" s="25" t="s">
        <v>432</v>
      </c>
      <c r="E23" s="53">
        <v>1900</v>
      </c>
      <c r="F23" s="50"/>
      <c r="G23" s="35">
        <v>19</v>
      </c>
      <c r="H23" s="25">
        <v>100</v>
      </c>
      <c r="I23" s="53">
        <f t="shared" si="2"/>
        <v>1900</v>
      </c>
      <c r="J23" s="66"/>
      <c r="K23" s="67"/>
      <c r="L23" s="66"/>
      <c r="M23" s="66"/>
      <c r="N23" s="66"/>
      <c r="O23" s="66"/>
      <c r="P23" s="66"/>
      <c r="Q23" s="66"/>
      <c r="R23" s="25"/>
      <c r="S23" s="36"/>
      <c r="T23" s="53">
        <f t="shared" si="0"/>
        <v>-38180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5">
        <v>687</v>
      </c>
      <c r="C24" s="25" t="s">
        <v>676</v>
      </c>
      <c r="D24" s="23" t="s">
        <v>618</v>
      </c>
      <c r="E24" s="54">
        <v>13500</v>
      </c>
      <c r="F24" s="50"/>
      <c r="G24" s="35">
        <v>135</v>
      </c>
      <c r="H24" s="25">
        <v>100</v>
      </c>
      <c r="I24" s="53">
        <f t="shared" si="2"/>
        <v>13500</v>
      </c>
      <c r="J24" s="66"/>
      <c r="K24" s="67"/>
      <c r="L24" s="66"/>
      <c r="M24" s="66"/>
      <c r="N24" s="66"/>
      <c r="O24" s="66"/>
      <c r="P24" s="66"/>
      <c r="Q24" s="66"/>
      <c r="R24" s="25"/>
      <c r="S24" s="36"/>
      <c r="T24" s="53">
        <f t="shared" si="0"/>
        <v>-51680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688</v>
      </c>
      <c r="C25" s="25" t="s">
        <v>676</v>
      </c>
      <c r="D25" s="23" t="s">
        <v>60</v>
      </c>
      <c r="E25" s="54">
        <v>2400</v>
      </c>
      <c r="F25" s="50"/>
      <c r="G25" s="35">
        <v>24</v>
      </c>
      <c r="H25" s="25">
        <v>100</v>
      </c>
      <c r="I25" s="53">
        <f t="shared" si="2"/>
        <v>2400</v>
      </c>
      <c r="J25" s="66"/>
      <c r="K25" s="67"/>
      <c r="L25" s="66"/>
      <c r="M25" s="66"/>
      <c r="N25" s="66"/>
      <c r="O25" s="66"/>
      <c r="P25" s="66"/>
      <c r="Q25" s="66"/>
      <c r="R25" s="25"/>
      <c r="S25" s="36"/>
      <c r="T25" s="53">
        <f t="shared" si="0"/>
        <v>-54080</v>
      </c>
      <c r="U25" s="42"/>
      <c r="V25" s="42"/>
      <c r="W25" s="42"/>
      <c r="X25" s="42"/>
      <c r="Y25" s="42"/>
    </row>
    <row r="26" ht="15.75" customHeight="1" spans="1:25" x14ac:dyDescent="0.25">
      <c r="A26" s="25" t="s">
        <v>735</v>
      </c>
      <c r="B26" s="35">
        <v>689</v>
      </c>
      <c r="C26" s="23" t="s">
        <v>736</v>
      </c>
      <c r="D26" s="25"/>
      <c r="E26" s="53">
        <v>3000</v>
      </c>
      <c r="F26" s="50"/>
      <c r="G26" s="25"/>
      <c r="H26" s="35"/>
      <c r="I26" s="53"/>
      <c r="J26" s="66"/>
      <c r="K26" s="67">
        <v>3000</v>
      </c>
      <c r="L26" s="66"/>
      <c r="M26" s="66"/>
      <c r="N26" s="66"/>
      <c r="O26" s="66"/>
      <c r="P26" s="66"/>
      <c r="Q26" s="66"/>
      <c r="R26" s="25"/>
      <c r="S26" s="36"/>
      <c r="T26" s="53">
        <f t="shared" si="0"/>
        <v>-57080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690</v>
      </c>
      <c r="C27" s="23" t="s">
        <v>737</v>
      </c>
      <c r="D27" s="25" t="s">
        <v>643</v>
      </c>
      <c r="E27" s="53">
        <v>1000</v>
      </c>
      <c r="F27" s="50"/>
      <c r="G27" s="25"/>
      <c r="H27" s="25"/>
      <c r="I27" s="53"/>
      <c r="J27" s="66"/>
      <c r="K27" s="67">
        <v>1000</v>
      </c>
      <c r="L27" s="66"/>
      <c r="M27" s="66"/>
      <c r="N27" s="66"/>
      <c r="O27" s="66"/>
      <c r="P27" s="66"/>
      <c r="Q27" s="66"/>
      <c r="R27" s="25"/>
      <c r="S27" s="36"/>
      <c r="T27" s="53">
        <f t="shared" si="0"/>
        <v>-58080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691</v>
      </c>
      <c r="C28" s="25" t="s">
        <v>676</v>
      </c>
      <c r="D28" s="23" t="s">
        <v>734</v>
      </c>
      <c r="E28" s="54">
        <v>4400</v>
      </c>
      <c r="F28" s="50"/>
      <c r="G28" s="35">
        <v>44</v>
      </c>
      <c r="H28" s="25">
        <v>100</v>
      </c>
      <c r="I28" s="53">
        <f t="shared" ref="I28:I29" si="3">H28*G28</f>
        <v>4400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0"/>
        <v>-62480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692</v>
      </c>
      <c r="C29" s="25" t="s">
        <v>676</v>
      </c>
      <c r="D29" s="23" t="s">
        <v>196</v>
      </c>
      <c r="E29" s="54">
        <v>2400</v>
      </c>
      <c r="F29" s="50"/>
      <c r="G29" s="35">
        <v>24</v>
      </c>
      <c r="H29" s="25">
        <v>100</v>
      </c>
      <c r="I29" s="53">
        <f t="shared" si="3"/>
        <v>2400</v>
      </c>
      <c r="J29" s="66"/>
      <c r="K29" s="67"/>
      <c r="L29" s="66"/>
      <c r="M29" s="66"/>
      <c r="N29" s="66"/>
      <c r="O29" s="66"/>
      <c r="P29" s="66"/>
      <c r="Q29" s="66"/>
      <c r="R29" s="25"/>
      <c r="S29" s="36"/>
      <c r="T29" s="53">
        <f t="shared" si="0"/>
        <v>-64880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25"/>
      <c r="C30" s="23" t="s">
        <v>738</v>
      </c>
      <c r="D30" s="25"/>
      <c r="E30" s="65"/>
      <c r="F30" s="68">
        <v>96500</v>
      </c>
      <c r="G30" s="25"/>
      <c r="H30" s="35"/>
      <c r="I30" s="53"/>
      <c r="J30" s="66"/>
      <c r="K30" s="66"/>
      <c r="L30" s="66"/>
      <c r="M30" s="66"/>
      <c r="N30" s="66"/>
      <c r="O30" s="66"/>
      <c r="P30" s="66"/>
      <c r="Q30" s="66"/>
      <c r="R30" s="25"/>
      <c r="S30" s="36"/>
      <c r="T30" s="53">
        <f>T29-E30+96500</f>
        <v>31620</v>
      </c>
      <c r="U30" s="42"/>
      <c r="V30" s="42"/>
      <c r="W30" s="42"/>
      <c r="X30" s="42"/>
      <c r="Y30" s="42"/>
    </row>
    <row r="31" ht="15.75" customHeight="1" spans="1:25" x14ac:dyDescent="0.25">
      <c r="A31" s="25" t="s">
        <v>739</v>
      </c>
      <c r="B31" s="35"/>
      <c r="C31" s="23" t="s">
        <v>740</v>
      </c>
      <c r="D31" s="25"/>
      <c r="E31" s="65"/>
      <c r="F31" s="68">
        <v>103400</v>
      </c>
      <c r="G31" s="35"/>
      <c r="H31" s="35"/>
      <c r="I31" s="53"/>
      <c r="J31" s="66"/>
      <c r="K31" s="66"/>
      <c r="L31" s="66"/>
      <c r="M31" s="66"/>
      <c r="N31" s="66"/>
      <c r="O31" s="66"/>
      <c r="P31" s="66"/>
      <c r="Q31" s="66"/>
      <c r="R31" s="25"/>
      <c r="S31" s="36"/>
      <c r="T31" s="53">
        <f>T30-E31+103400</f>
        <v>135020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0">
        <v>693</v>
      </c>
      <c r="C32" s="25" t="s">
        <v>676</v>
      </c>
      <c r="D32" s="23" t="s">
        <v>618</v>
      </c>
      <c r="E32" s="53">
        <v>10000</v>
      </c>
      <c r="F32" s="50"/>
      <c r="G32" s="35">
        <v>100</v>
      </c>
      <c r="H32" s="35">
        <v>100</v>
      </c>
      <c r="I32" s="53">
        <v>10000</v>
      </c>
      <c r="J32" s="66"/>
      <c r="K32" s="66"/>
      <c r="L32" s="66"/>
      <c r="M32" s="66"/>
      <c r="N32" s="66"/>
      <c r="O32" s="66"/>
      <c r="P32" s="66"/>
      <c r="Q32" s="66"/>
      <c r="R32" s="25"/>
      <c r="S32" s="36"/>
      <c r="T32" s="53">
        <f t="shared" ref="T32:T69" si="4">T31-E32</f>
        <v>125020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0">
        <v>694</v>
      </c>
      <c r="C33" s="25" t="s">
        <v>676</v>
      </c>
      <c r="D33" s="25" t="s">
        <v>420</v>
      </c>
      <c r="E33" s="53">
        <v>2300</v>
      </c>
      <c r="F33" s="50"/>
      <c r="G33" s="35">
        <v>23</v>
      </c>
      <c r="H33" s="35">
        <v>100</v>
      </c>
      <c r="I33" s="53">
        <v>2300</v>
      </c>
      <c r="J33" s="66"/>
      <c r="K33" s="66"/>
      <c r="L33" s="66"/>
      <c r="M33" s="66"/>
      <c r="N33" s="66"/>
      <c r="O33" s="66"/>
      <c r="P33" s="66"/>
      <c r="Q33" s="67"/>
      <c r="R33" s="25"/>
      <c r="S33" s="36"/>
      <c r="T33" s="53">
        <f t="shared" si="4"/>
        <v>122720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741</v>
      </c>
      <c r="B34" s="35">
        <v>695</v>
      </c>
      <c r="C34" s="25" t="s">
        <v>13</v>
      </c>
      <c r="D34" s="23" t="s">
        <v>727</v>
      </c>
      <c r="E34" s="54">
        <v>10000</v>
      </c>
      <c r="F34" s="50"/>
      <c r="G34" s="25"/>
      <c r="H34" s="25"/>
      <c r="I34" s="53"/>
      <c r="J34" s="66"/>
      <c r="K34" s="66"/>
      <c r="L34" s="66"/>
      <c r="M34" s="66"/>
      <c r="N34" s="66"/>
      <c r="O34" s="66"/>
      <c r="P34" s="67"/>
      <c r="Q34" s="66">
        <v>10000</v>
      </c>
      <c r="R34" s="25"/>
      <c r="S34" s="36"/>
      <c r="T34" s="53">
        <f t="shared" si="4"/>
        <v>112720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696</v>
      </c>
      <c r="C35" s="23" t="s">
        <v>57</v>
      </c>
      <c r="D35" s="23" t="s">
        <v>385</v>
      </c>
      <c r="E35" s="54">
        <v>380</v>
      </c>
      <c r="F35" s="50"/>
      <c r="G35" s="25"/>
      <c r="H35" s="25"/>
      <c r="I35" s="53"/>
      <c r="J35" s="66"/>
      <c r="K35" s="66"/>
      <c r="L35" s="66"/>
      <c r="M35" s="66"/>
      <c r="N35" s="66"/>
      <c r="O35" s="66"/>
      <c r="P35" s="66">
        <v>380</v>
      </c>
      <c r="Q35" s="66"/>
      <c r="R35" s="25"/>
      <c r="S35" s="36"/>
      <c r="T35" s="53">
        <f t="shared" si="4"/>
        <v>112340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697</v>
      </c>
      <c r="C36" s="48" t="s">
        <v>742</v>
      </c>
      <c r="D36" s="79" t="s">
        <v>743</v>
      </c>
      <c r="E36" s="80">
        <v>3500</v>
      </c>
      <c r="F36" s="50"/>
      <c r="G36" s="35"/>
      <c r="H36" s="35"/>
      <c r="I36" s="53"/>
      <c r="J36" s="66"/>
      <c r="K36" s="66">
        <v>3500</v>
      </c>
      <c r="L36" s="66"/>
      <c r="M36" s="66"/>
      <c r="N36" s="66"/>
      <c r="O36" s="66"/>
      <c r="P36" s="66"/>
      <c r="Q36" s="66"/>
      <c r="R36" s="25"/>
      <c r="S36" s="36"/>
      <c r="T36" s="53">
        <f t="shared" si="4"/>
        <v>108840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698</v>
      </c>
      <c r="C37" s="23" t="s">
        <v>744</v>
      </c>
      <c r="D37" s="25" t="s">
        <v>745</v>
      </c>
      <c r="E37" s="53">
        <v>3780</v>
      </c>
      <c r="F37" s="50"/>
      <c r="G37" s="35">
        <v>54</v>
      </c>
      <c r="H37" s="35">
        <v>70</v>
      </c>
      <c r="I37" s="53">
        <v>3780</v>
      </c>
      <c r="J37" s="66"/>
      <c r="K37" s="66"/>
      <c r="L37" s="66"/>
      <c r="M37" s="66"/>
      <c r="N37" s="66"/>
      <c r="O37" s="66"/>
      <c r="P37" s="66"/>
      <c r="Q37" s="66"/>
      <c r="R37" s="25"/>
      <c r="S37" s="36"/>
      <c r="T37" s="53">
        <f t="shared" si="4"/>
        <v>105060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699</v>
      </c>
      <c r="C38" s="23" t="s">
        <v>746</v>
      </c>
      <c r="D38" s="25" t="s">
        <v>643</v>
      </c>
      <c r="E38" s="53">
        <v>1000</v>
      </c>
      <c r="F38" s="50"/>
      <c r="G38" s="35"/>
      <c r="H38" s="35"/>
      <c r="I38" s="53"/>
      <c r="J38" s="66"/>
      <c r="K38" s="66">
        <v>1000</v>
      </c>
      <c r="L38" s="66"/>
      <c r="M38" s="66"/>
      <c r="N38" s="66"/>
      <c r="O38" s="66"/>
      <c r="P38" s="66"/>
      <c r="Q38" s="66"/>
      <c r="R38" s="25"/>
      <c r="S38" s="36"/>
      <c r="T38" s="53">
        <f t="shared" si="4"/>
        <v>104060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700</v>
      </c>
      <c r="C39" s="25" t="s">
        <v>676</v>
      </c>
      <c r="D39" s="25" t="s">
        <v>60</v>
      </c>
      <c r="E39" s="53">
        <v>1200</v>
      </c>
      <c r="F39" s="50"/>
      <c r="G39" s="35">
        <v>12</v>
      </c>
      <c r="H39" s="35">
        <v>100</v>
      </c>
      <c r="I39" s="53">
        <f t="shared" ref="I39:I46" si="5">H39*G39</f>
        <v>1200</v>
      </c>
      <c r="J39" s="66"/>
      <c r="K39" s="66"/>
      <c r="L39" s="66"/>
      <c r="M39" s="66"/>
      <c r="N39" s="66"/>
      <c r="O39" s="66"/>
      <c r="P39" s="66"/>
      <c r="Q39" s="66"/>
      <c r="R39" s="25"/>
      <c r="S39" s="36"/>
      <c r="T39" s="53">
        <f t="shared" si="4"/>
        <v>102860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701</v>
      </c>
      <c r="C40" s="25" t="s">
        <v>676</v>
      </c>
      <c r="D40" s="25" t="s">
        <v>747</v>
      </c>
      <c r="E40" s="53">
        <v>4000</v>
      </c>
      <c r="F40" s="50"/>
      <c r="G40" s="35">
        <v>40</v>
      </c>
      <c r="H40" s="35">
        <v>100</v>
      </c>
      <c r="I40" s="53">
        <f t="shared" si="5"/>
        <v>4000</v>
      </c>
      <c r="J40" s="66"/>
      <c r="K40" s="66"/>
      <c r="L40" s="66"/>
      <c r="M40" s="66"/>
      <c r="N40" s="66"/>
      <c r="O40" s="66"/>
      <c r="P40" s="67"/>
      <c r="Q40" s="66"/>
      <c r="R40" s="25"/>
      <c r="S40" s="36"/>
      <c r="T40" s="53">
        <f t="shared" si="4"/>
        <v>98860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702</v>
      </c>
      <c r="C41" s="25" t="s">
        <v>676</v>
      </c>
      <c r="D41" s="25" t="s">
        <v>748</v>
      </c>
      <c r="E41" s="53">
        <v>800</v>
      </c>
      <c r="F41" s="50"/>
      <c r="G41" s="35">
        <v>8</v>
      </c>
      <c r="H41" s="35">
        <v>100</v>
      </c>
      <c r="I41" s="53">
        <f t="shared" si="5"/>
        <v>800</v>
      </c>
      <c r="J41" s="66"/>
      <c r="K41" s="66"/>
      <c r="L41" s="66"/>
      <c r="M41" s="67"/>
      <c r="N41" s="66"/>
      <c r="O41" s="66"/>
      <c r="P41" s="66"/>
      <c r="Q41" s="66"/>
      <c r="R41" s="25"/>
      <c r="S41" s="36"/>
      <c r="T41" s="53">
        <f t="shared" si="4"/>
        <v>98060</v>
      </c>
      <c r="U41" s="42"/>
      <c r="V41" s="42"/>
      <c r="W41" s="42"/>
      <c r="X41" s="42"/>
      <c r="Y41" s="42"/>
    </row>
    <row r="42" ht="15.75" customHeight="1" spans="1:25" x14ac:dyDescent="0.25">
      <c r="A42" s="25" t="s">
        <v>749</v>
      </c>
      <c r="B42" s="35">
        <v>703</v>
      </c>
      <c r="C42" s="25" t="s">
        <v>676</v>
      </c>
      <c r="D42" s="25" t="s">
        <v>750</v>
      </c>
      <c r="E42" s="53">
        <v>700</v>
      </c>
      <c r="F42" s="50"/>
      <c r="G42" s="35">
        <v>7</v>
      </c>
      <c r="H42" s="35">
        <v>100</v>
      </c>
      <c r="I42" s="53">
        <f t="shared" si="5"/>
        <v>700</v>
      </c>
      <c r="J42" s="66"/>
      <c r="K42" s="66"/>
      <c r="L42" s="66"/>
      <c r="M42" s="66"/>
      <c r="N42" s="66"/>
      <c r="O42" s="66"/>
      <c r="P42" s="66"/>
      <c r="Q42" s="66"/>
      <c r="R42" s="25"/>
      <c r="S42" s="36"/>
      <c r="T42" s="53">
        <f t="shared" si="4"/>
        <v>97360</v>
      </c>
      <c r="U42" s="42"/>
      <c r="V42" s="42"/>
      <c r="W42" s="42"/>
      <c r="X42" s="42"/>
      <c r="Y42" s="42"/>
    </row>
    <row r="43" ht="15.75" customHeight="1" spans="1:25" x14ac:dyDescent="0.25">
      <c r="A43" s="25"/>
      <c r="B43" s="35">
        <v>704</v>
      </c>
      <c r="C43" s="25" t="s">
        <v>676</v>
      </c>
      <c r="D43" s="25" t="s">
        <v>751</v>
      </c>
      <c r="E43" s="53">
        <v>1700</v>
      </c>
      <c r="F43" s="50"/>
      <c r="G43" s="35">
        <v>17</v>
      </c>
      <c r="H43" s="35">
        <v>100</v>
      </c>
      <c r="I43" s="53">
        <f t="shared" si="5"/>
        <v>1700</v>
      </c>
      <c r="J43" s="66"/>
      <c r="K43" s="66"/>
      <c r="L43" s="66"/>
      <c r="M43" s="66"/>
      <c r="N43" s="66"/>
      <c r="O43" s="66"/>
      <c r="P43" s="66"/>
      <c r="Q43" s="66"/>
      <c r="R43" s="25"/>
      <c r="S43" s="36"/>
      <c r="T43" s="53">
        <f t="shared" si="4"/>
        <v>95660</v>
      </c>
      <c r="U43" s="42"/>
      <c r="V43" s="42"/>
      <c r="W43" s="42"/>
      <c r="X43" s="42"/>
      <c r="Y43" s="42"/>
    </row>
    <row r="44" ht="15.75" customHeight="1" spans="1:25" x14ac:dyDescent="0.25">
      <c r="A44" s="25"/>
      <c r="B44" s="35">
        <v>705</v>
      </c>
      <c r="C44" s="25" t="s">
        <v>676</v>
      </c>
      <c r="D44" s="25" t="s">
        <v>54</v>
      </c>
      <c r="E44" s="53">
        <v>16500</v>
      </c>
      <c r="F44" s="50"/>
      <c r="G44" s="35">
        <v>165</v>
      </c>
      <c r="H44" s="35">
        <v>100</v>
      </c>
      <c r="I44" s="53">
        <f t="shared" si="5"/>
        <v>16500</v>
      </c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 t="shared" si="4"/>
        <v>79160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706</v>
      </c>
      <c r="C45" s="25" t="s">
        <v>676</v>
      </c>
      <c r="D45" s="25" t="s">
        <v>200</v>
      </c>
      <c r="E45" s="53">
        <v>70500</v>
      </c>
      <c r="F45" s="50"/>
      <c r="G45" s="35">
        <v>705</v>
      </c>
      <c r="H45" s="35">
        <v>100</v>
      </c>
      <c r="I45" s="53">
        <f t="shared" si="5"/>
        <v>70500</v>
      </c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si="4"/>
        <v>8660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707</v>
      </c>
      <c r="C46" s="25" t="s">
        <v>676</v>
      </c>
      <c r="D46" s="25" t="s">
        <v>200</v>
      </c>
      <c r="E46" s="53">
        <v>1800</v>
      </c>
      <c r="F46" s="50"/>
      <c r="G46" s="35">
        <v>18</v>
      </c>
      <c r="H46" s="35">
        <v>100</v>
      </c>
      <c r="I46" s="53">
        <f t="shared" si="5"/>
        <v>1800</v>
      </c>
      <c r="J46" s="66"/>
      <c r="K46" s="66"/>
      <c r="L46" s="66"/>
      <c r="M46" s="66"/>
      <c r="N46" s="66"/>
      <c r="O46" s="66"/>
      <c r="P46" s="66"/>
      <c r="Q46" s="66"/>
      <c r="R46" s="25"/>
      <c r="S46" s="36"/>
      <c r="T46" s="53">
        <f t="shared" si="4"/>
        <v>6860</v>
      </c>
      <c r="U46" s="42"/>
      <c r="V46" s="42"/>
      <c r="W46" s="42"/>
      <c r="X46" s="42"/>
      <c r="Y46" s="42"/>
    </row>
    <row r="47" ht="15.75" customHeight="1" spans="1:25" x14ac:dyDescent="0.25">
      <c r="A47" s="25" t="s">
        <v>752</v>
      </c>
      <c r="B47" s="35">
        <v>708</v>
      </c>
      <c r="C47" s="25" t="s">
        <v>753</v>
      </c>
      <c r="D47" s="25" t="s">
        <v>270</v>
      </c>
      <c r="E47" s="53">
        <v>1450</v>
      </c>
      <c r="F47" s="50"/>
      <c r="G47" s="25"/>
      <c r="H47" s="35"/>
      <c r="I47" s="65"/>
      <c r="J47" s="66"/>
      <c r="K47" s="66"/>
      <c r="L47" s="66"/>
      <c r="M47" s="66"/>
      <c r="N47" s="66">
        <v>1450</v>
      </c>
      <c r="O47" s="66"/>
      <c r="P47" s="66"/>
      <c r="Q47" s="66"/>
      <c r="R47" s="25"/>
      <c r="S47" s="36"/>
      <c r="T47" s="53">
        <f t="shared" si="4"/>
        <v>5410</v>
      </c>
      <c r="U47" s="42"/>
      <c r="V47" s="42"/>
      <c r="W47" s="42"/>
      <c r="X47" s="42"/>
      <c r="Y47" s="42"/>
    </row>
    <row r="48" ht="15.75" customHeight="1" spans="1:25" x14ac:dyDescent="0.25">
      <c r="A48" s="25"/>
      <c r="B48" s="35">
        <v>709</v>
      </c>
      <c r="C48" s="25" t="s">
        <v>676</v>
      </c>
      <c r="D48" s="25" t="s">
        <v>311</v>
      </c>
      <c r="E48" s="53">
        <v>3600</v>
      </c>
      <c r="F48" s="50"/>
      <c r="G48" s="35">
        <v>36</v>
      </c>
      <c r="H48" s="25">
        <v>100</v>
      </c>
      <c r="I48" s="65">
        <f t="shared" ref="I48:I54" si="6">H48*G48</f>
        <v>3600</v>
      </c>
      <c r="J48" s="66"/>
      <c r="K48" s="66"/>
      <c r="L48" s="66"/>
      <c r="M48" s="66"/>
      <c r="N48" s="66"/>
      <c r="O48" s="66"/>
      <c r="P48" s="66"/>
      <c r="Q48" s="66"/>
      <c r="R48" s="25"/>
      <c r="S48" s="36"/>
      <c r="T48" s="53">
        <f t="shared" si="4"/>
        <v>1810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710</v>
      </c>
      <c r="C49" s="25" t="s">
        <v>676</v>
      </c>
      <c r="D49" s="25" t="s">
        <v>69</v>
      </c>
      <c r="E49" s="53">
        <v>5300</v>
      </c>
      <c r="F49" s="50"/>
      <c r="G49" s="35">
        <v>53</v>
      </c>
      <c r="H49" s="25">
        <v>100</v>
      </c>
      <c r="I49" s="65">
        <f t="shared" si="6"/>
        <v>5300</v>
      </c>
      <c r="J49" s="66"/>
      <c r="K49" s="66"/>
      <c r="L49" s="66"/>
      <c r="M49" s="66"/>
      <c r="N49" s="66"/>
      <c r="O49" s="66"/>
      <c r="P49" s="66"/>
      <c r="Q49" s="66"/>
      <c r="R49" s="25"/>
      <c r="S49" s="36"/>
      <c r="T49" s="53">
        <f t="shared" si="4"/>
        <v>-3490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711</v>
      </c>
      <c r="C50" s="25" t="s">
        <v>676</v>
      </c>
      <c r="D50" s="25" t="s">
        <v>432</v>
      </c>
      <c r="E50" s="53">
        <v>1500</v>
      </c>
      <c r="F50" s="50"/>
      <c r="G50" s="35">
        <v>15</v>
      </c>
      <c r="H50" s="25">
        <v>100</v>
      </c>
      <c r="I50" s="65">
        <f t="shared" si="6"/>
        <v>1500</v>
      </c>
      <c r="J50" s="66"/>
      <c r="K50" s="66"/>
      <c r="L50" s="66"/>
      <c r="M50" s="66"/>
      <c r="N50" s="66"/>
      <c r="O50" s="66"/>
      <c r="P50" s="66"/>
      <c r="Q50" s="66"/>
      <c r="R50" s="25"/>
      <c r="S50" s="36"/>
      <c r="T50" s="53">
        <f t="shared" si="4"/>
        <v>-4990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712</v>
      </c>
      <c r="C51" s="25" t="s">
        <v>676</v>
      </c>
      <c r="D51" s="25" t="s">
        <v>754</v>
      </c>
      <c r="E51" s="53">
        <v>1500</v>
      </c>
      <c r="F51" s="50"/>
      <c r="G51" s="35">
        <v>15</v>
      </c>
      <c r="H51" s="25">
        <v>100</v>
      </c>
      <c r="I51" s="65">
        <f t="shared" si="6"/>
        <v>1500</v>
      </c>
      <c r="J51" s="66"/>
      <c r="K51" s="66"/>
      <c r="L51" s="66"/>
      <c r="M51" s="66"/>
      <c r="N51" s="66"/>
      <c r="O51" s="66"/>
      <c r="P51" s="66"/>
      <c r="Q51" s="66"/>
      <c r="R51" s="25"/>
      <c r="S51" s="36"/>
      <c r="T51" s="53">
        <f t="shared" si="4"/>
        <v>-6490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713</v>
      </c>
      <c r="C52" s="25" t="s">
        <v>676</v>
      </c>
      <c r="D52" s="25" t="s">
        <v>420</v>
      </c>
      <c r="E52" s="53">
        <v>1000</v>
      </c>
      <c r="F52" s="50"/>
      <c r="G52" s="35">
        <v>10</v>
      </c>
      <c r="H52" s="25">
        <v>100</v>
      </c>
      <c r="I52" s="65">
        <f t="shared" si="6"/>
        <v>1000</v>
      </c>
      <c r="J52" s="66"/>
      <c r="K52" s="66"/>
      <c r="L52" s="66"/>
      <c r="M52" s="66"/>
      <c r="N52" s="66"/>
      <c r="O52" s="66"/>
      <c r="P52" s="66"/>
      <c r="Q52" s="66"/>
      <c r="R52" s="25"/>
      <c r="S52" s="36"/>
      <c r="T52" s="53">
        <f t="shared" si="4"/>
        <v>-7490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714</v>
      </c>
      <c r="C53" s="25" t="s">
        <v>676</v>
      </c>
      <c r="D53" s="25" t="s">
        <v>755</v>
      </c>
      <c r="E53" s="53">
        <v>500</v>
      </c>
      <c r="F53" s="50"/>
      <c r="G53" s="35">
        <v>5</v>
      </c>
      <c r="H53" s="25">
        <v>100</v>
      </c>
      <c r="I53" s="65">
        <f t="shared" si="6"/>
        <v>500</v>
      </c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 t="shared" si="4"/>
        <v>-7990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715</v>
      </c>
      <c r="C54" s="25" t="s">
        <v>676</v>
      </c>
      <c r="D54" s="25" t="s">
        <v>196</v>
      </c>
      <c r="E54" s="53">
        <v>2200</v>
      </c>
      <c r="F54" s="50"/>
      <c r="G54" s="35">
        <v>22</v>
      </c>
      <c r="H54" s="25">
        <v>100</v>
      </c>
      <c r="I54" s="65">
        <f t="shared" si="6"/>
        <v>2200</v>
      </c>
      <c r="J54" s="66"/>
      <c r="K54" s="66"/>
      <c r="L54" s="66"/>
      <c r="M54" s="66"/>
      <c r="N54" s="66"/>
      <c r="O54" s="66"/>
      <c r="P54" s="66"/>
      <c r="Q54" s="66"/>
      <c r="R54" s="25"/>
      <c r="S54" s="36"/>
      <c r="T54" s="53">
        <f t="shared" si="4"/>
        <v>-10190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716</v>
      </c>
      <c r="C55" s="25" t="s">
        <v>756</v>
      </c>
      <c r="D55" s="25" t="s">
        <v>757</v>
      </c>
      <c r="E55" s="53">
        <v>1120</v>
      </c>
      <c r="F55" s="50"/>
      <c r="G55" s="25"/>
      <c r="H55" s="25"/>
      <c r="I55" s="65"/>
      <c r="J55" s="66"/>
      <c r="K55" s="66"/>
      <c r="L55" s="66"/>
      <c r="M55" s="66"/>
      <c r="N55" s="66"/>
      <c r="O55" s="66"/>
      <c r="P55" s="66"/>
      <c r="Q55" s="66"/>
      <c r="R55" s="25">
        <v>1120</v>
      </c>
      <c r="S55" s="36"/>
      <c r="T55" s="53">
        <f t="shared" si="4"/>
        <v>-11310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717</v>
      </c>
      <c r="C56" s="25" t="s">
        <v>676</v>
      </c>
      <c r="D56" s="25" t="s">
        <v>54</v>
      </c>
      <c r="E56" s="53">
        <v>14300</v>
      </c>
      <c r="F56" s="50"/>
      <c r="G56" s="35">
        <v>143</v>
      </c>
      <c r="H56" s="25">
        <v>100</v>
      </c>
      <c r="I56" s="65">
        <f t="shared" ref="I56:I58" si="7">H56*G56</f>
        <v>14300</v>
      </c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 t="shared" si="4"/>
        <v>-25610</v>
      </c>
      <c r="U56" s="42"/>
      <c r="V56" s="42"/>
      <c r="W56" s="42"/>
      <c r="X56" s="42"/>
      <c r="Y56" s="42"/>
    </row>
    <row r="57" ht="15.75" customHeight="1" spans="1:25" x14ac:dyDescent="0.25">
      <c r="A57" s="25" t="s">
        <v>758</v>
      </c>
      <c r="B57" s="35">
        <v>718</v>
      </c>
      <c r="C57" s="25" t="s">
        <v>676</v>
      </c>
      <c r="D57" s="25" t="s">
        <v>311</v>
      </c>
      <c r="E57" s="53">
        <v>2400</v>
      </c>
      <c r="F57" s="50"/>
      <c r="G57" s="35">
        <v>24</v>
      </c>
      <c r="H57" s="25">
        <v>100</v>
      </c>
      <c r="I57" s="65">
        <f t="shared" si="7"/>
        <v>2400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si="4"/>
        <v>-28010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719</v>
      </c>
      <c r="C58" s="25" t="s">
        <v>676</v>
      </c>
      <c r="D58" s="25" t="s">
        <v>453</v>
      </c>
      <c r="E58" s="53">
        <v>2500</v>
      </c>
      <c r="F58" s="50"/>
      <c r="G58" s="35">
        <v>25</v>
      </c>
      <c r="H58" s="25">
        <v>100</v>
      </c>
      <c r="I58" s="65">
        <f t="shared" si="7"/>
        <v>2500</v>
      </c>
      <c r="J58" s="66"/>
      <c r="K58" s="66"/>
      <c r="L58" s="66"/>
      <c r="M58" s="66"/>
      <c r="N58" s="66"/>
      <c r="O58" s="66"/>
      <c r="P58" s="66"/>
      <c r="Q58" s="66"/>
      <c r="R58" s="25"/>
      <c r="S58" s="36"/>
      <c r="T58" s="53">
        <f t="shared" si="4"/>
        <v>-30510</v>
      </c>
      <c r="U58" s="42"/>
      <c r="V58" s="42"/>
      <c r="W58" s="42"/>
      <c r="X58" s="42"/>
      <c r="Y58" s="42"/>
    </row>
    <row r="59" ht="15.75" customHeight="1" spans="1:25" x14ac:dyDescent="0.25">
      <c r="A59" s="25" t="s">
        <v>759</v>
      </c>
      <c r="B59" s="35">
        <v>720</v>
      </c>
      <c r="C59" s="25" t="s">
        <v>760</v>
      </c>
      <c r="D59" s="25" t="s">
        <v>411</v>
      </c>
      <c r="E59" s="53">
        <v>200</v>
      </c>
      <c r="F59" s="50"/>
      <c r="G59" s="35"/>
      <c r="H59" s="35"/>
      <c r="I59" s="53"/>
      <c r="J59" s="66"/>
      <c r="K59" s="66" t="s">
        <v>761</v>
      </c>
      <c r="L59" s="66"/>
      <c r="M59" s="67"/>
      <c r="N59" s="66"/>
      <c r="O59" s="66"/>
      <c r="P59" s="66">
        <v>200</v>
      </c>
      <c r="Q59" s="66"/>
      <c r="R59" s="25"/>
      <c r="S59" s="36"/>
      <c r="T59" s="53">
        <f t="shared" si="4"/>
        <v>-30710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721</v>
      </c>
      <c r="C60" s="25" t="s">
        <v>762</v>
      </c>
      <c r="D60" s="25" t="s">
        <v>411</v>
      </c>
      <c r="E60" s="53">
        <v>1152</v>
      </c>
      <c r="F60" s="50"/>
      <c r="G60" s="35"/>
      <c r="H60" s="35"/>
      <c r="I60" s="53"/>
      <c r="J60" s="66"/>
      <c r="K60" s="66"/>
      <c r="L60" s="66"/>
      <c r="M60" s="66"/>
      <c r="N60" s="66"/>
      <c r="O60" s="66"/>
      <c r="P60" s="67">
        <v>1152</v>
      </c>
      <c r="Q60" s="66"/>
      <c r="R60" s="25"/>
      <c r="S60" s="36"/>
      <c r="T60" s="53">
        <f t="shared" si="4"/>
        <v>-31862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722</v>
      </c>
      <c r="C61" s="25" t="s">
        <v>13</v>
      </c>
      <c r="D61" s="25" t="s">
        <v>727</v>
      </c>
      <c r="E61" s="53">
        <v>2500</v>
      </c>
      <c r="F61" s="50"/>
      <c r="G61" s="25"/>
      <c r="H61" s="25"/>
      <c r="I61" s="65"/>
      <c r="J61" s="66"/>
      <c r="K61" s="66"/>
      <c r="L61" s="66"/>
      <c r="M61" s="66"/>
      <c r="N61" s="66"/>
      <c r="O61" s="66"/>
      <c r="P61" s="66"/>
      <c r="Q61" s="66">
        <v>2500</v>
      </c>
      <c r="R61" s="25"/>
      <c r="S61" s="36"/>
      <c r="T61" s="53">
        <f t="shared" si="4"/>
        <v>-34362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723</v>
      </c>
      <c r="C62" s="25" t="s">
        <v>57</v>
      </c>
      <c r="D62" s="25" t="s">
        <v>385</v>
      </c>
      <c r="E62" s="53">
        <v>400</v>
      </c>
      <c r="F62" s="50"/>
      <c r="G62" s="25"/>
      <c r="H62" s="25"/>
      <c r="I62" s="65"/>
      <c r="J62" s="66"/>
      <c r="K62" s="66"/>
      <c r="L62" s="66"/>
      <c r="M62" s="66"/>
      <c r="N62" s="66"/>
      <c r="O62" s="66"/>
      <c r="P62" s="66">
        <v>400</v>
      </c>
      <c r="Q62" s="66"/>
      <c r="R62" s="25"/>
      <c r="S62" s="36"/>
      <c r="T62" s="53">
        <f t="shared" si="4"/>
        <v>-34762</v>
      </c>
      <c r="U62" s="42"/>
      <c r="V62" s="42"/>
      <c r="W62" s="42"/>
      <c r="X62" s="42"/>
      <c r="Y62" s="42"/>
    </row>
    <row r="63" ht="15.75" customHeight="1" spans="1:25" x14ac:dyDescent="0.25">
      <c r="A63" s="25"/>
      <c r="B63" s="35">
        <v>724</v>
      </c>
      <c r="C63" s="25" t="s">
        <v>676</v>
      </c>
      <c r="D63" s="25" t="s">
        <v>311</v>
      </c>
      <c r="E63" s="53">
        <v>1900</v>
      </c>
      <c r="F63" s="50"/>
      <c r="G63" s="35">
        <v>19</v>
      </c>
      <c r="H63" s="25">
        <v>100</v>
      </c>
      <c r="I63" s="65">
        <f t="shared" ref="I63:I66" si="8">G63*H63</f>
        <v>1900</v>
      </c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 t="shared" si="4"/>
        <v>-36662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725</v>
      </c>
      <c r="C64" s="25" t="s">
        <v>676</v>
      </c>
      <c r="D64" s="25" t="s">
        <v>763</v>
      </c>
      <c r="E64" s="53">
        <v>3100</v>
      </c>
      <c r="F64" s="50"/>
      <c r="G64" s="35">
        <v>31</v>
      </c>
      <c r="H64" s="25">
        <v>100</v>
      </c>
      <c r="I64" s="65">
        <f t="shared" si="8"/>
        <v>3100</v>
      </c>
      <c r="J64" s="66"/>
      <c r="K64" s="66"/>
      <c r="L64" s="66"/>
      <c r="M64" s="66"/>
      <c r="N64" s="66"/>
      <c r="O64" s="67"/>
      <c r="P64" s="66"/>
      <c r="Q64" s="66"/>
      <c r="R64" s="25"/>
      <c r="S64" s="36"/>
      <c r="T64" s="53">
        <f t="shared" si="4"/>
        <v>-39762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726</v>
      </c>
      <c r="C65" s="25" t="s">
        <v>676</v>
      </c>
      <c r="D65" s="25" t="s">
        <v>420</v>
      </c>
      <c r="E65" s="53">
        <v>2300</v>
      </c>
      <c r="F65" s="50"/>
      <c r="G65" s="35">
        <v>23</v>
      </c>
      <c r="H65" s="25">
        <v>100</v>
      </c>
      <c r="I65" s="65">
        <f t="shared" si="8"/>
        <v>2300</v>
      </c>
      <c r="J65" s="66"/>
      <c r="K65" s="66"/>
      <c r="L65" s="66"/>
      <c r="M65" s="66"/>
      <c r="N65" s="66"/>
      <c r="O65" s="67"/>
      <c r="P65" s="66"/>
      <c r="Q65" s="66"/>
      <c r="R65" s="25"/>
      <c r="S65" s="36"/>
      <c r="T65" s="53">
        <f t="shared" si="4"/>
        <v>-42062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727</v>
      </c>
      <c r="C66" s="25" t="s">
        <v>676</v>
      </c>
      <c r="D66" s="25" t="s">
        <v>69</v>
      </c>
      <c r="E66" s="53">
        <v>3400</v>
      </c>
      <c r="F66" s="50"/>
      <c r="G66" s="35">
        <v>34</v>
      </c>
      <c r="H66" s="25">
        <v>100</v>
      </c>
      <c r="I66" s="65">
        <f t="shared" si="8"/>
        <v>3400</v>
      </c>
      <c r="J66" s="66"/>
      <c r="K66" s="66"/>
      <c r="L66" s="66"/>
      <c r="M66" s="66"/>
      <c r="N66" s="66"/>
      <c r="O66" s="66"/>
      <c r="P66" s="66"/>
      <c r="Q66" s="67"/>
      <c r="R66" s="25"/>
      <c r="S66" s="36"/>
      <c r="T66" s="53">
        <f t="shared" si="4"/>
        <v>-45462</v>
      </c>
      <c r="U66" s="42"/>
      <c r="V66" s="42"/>
      <c r="W66" s="42"/>
      <c r="X66" s="42"/>
      <c r="Y66" s="42"/>
    </row>
    <row r="67" ht="15.75" customHeight="1" spans="1:25" x14ac:dyDescent="0.25">
      <c r="A67" s="25" t="s">
        <v>764</v>
      </c>
      <c r="B67" s="35">
        <v>728</v>
      </c>
      <c r="C67" s="25" t="s">
        <v>765</v>
      </c>
      <c r="D67" s="25" t="s">
        <v>409</v>
      </c>
      <c r="E67" s="53">
        <v>1000</v>
      </c>
      <c r="F67" s="50"/>
      <c r="G67" s="25"/>
      <c r="H67" s="25"/>
      <c r="I67" s="65"/>
      <c r="J67" s="66"/>
      <c r="K67" s="66"/>
      <c r="L67" s="66"/>
      <c r="M67" s="66"/>
      <c r="N67" s="66"/>
      <c r="O67" s="66"/>
      <c r="P67" s="67"/>
      <c r="Q67" s="66"/>
      <c r="R67" s="25">
        <v>1000</v>
      </c>
      <c r="S67" s="36"/>
      <c r="T67" s="53">
        <f t="shared" si="4"/>
        <v>-46462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729</v>
      </c>
      <c r="C68" s="25" t="s">
        <v>766</v>
      </c>
      <c r="D68" s="25" t="s">
        <v>270</v>
      </c>
      <c r="E68" s="53">
        <v>1400</v>
      </c>
      <c r="F68" s="50"/>
      <c r="G68" s="25"/>
      <c r="H68" s="25"/>
      <c r="I68" s="65"/>
      <c r="J68" s="66"/>
      <c r="K68" s="66"/>
      <c r="L68" s="66"/>
      <c r="M68" s="66"/>
      <c r="N68" s="66">
        <v>1400</v>
      </c>
      <c r="O68" s="66"/>
      <c r="P68" s="66"/>
      <c r="Q68" s="66"/>
      <c r="R68" s="25"/>
      <c r="S68" s="36"/>
      <c r="T68" s="53">
        <f t="shared" si="4"/>
        <v>-47862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730</v>
      </c>
      <c r="C69" s="25" t="s">
        <v>767</v>
      </c>
      <c r="D69" s="25" t="s">
        <v>411</v>
      </c>
      <c r="E69" s="53">
        <v>200</v>
      </c>
      <c r="F69" s="50"/>
      <c r="G69" s="35"/>
      <c r="H69" s="35"/>
      <c r="I69" s="53"/>
      <c r="J69" s="66"/>
      <c r="K69" s="66"/>
      <c r="L69" s="66"/>
      <c r="M69" s="66"/>
      <c r="N69" s="66"/>
      <c r="O69" s="66"/>
      <c r="P69" s="66">
        <v>200</v>
      </c>
      <c r="Q69" s="66"/>
      <c r="R69" s="25"/>
      <c r="S69" s="36"/>
      <c r="T69" s="53">
        <f t="shared" si="4"/>
        <v>-48062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/>
      <c r="C70" s="25" t="s">
        <v>768</v>
      </c>
      <c r="D70" s="25"/>
      <c r="E70" s="53"/>
      <c r="F70" s="68">
        <v>150000</v>
      </c>
      <c r="G70" s="35"/>
      <c r="H70" s="35"/>
      <c r="I70" s="53"/>
      <c r="J70" s="66"/>
      <c r="K70" s="66"/>
      <c r="L70" s="66"/>
      <c r="M70" s="66"/>
      <c r="N70" s="66"/>
      <c r="O70" s="66"/>
      <c r="P70" s="66"/>
      <c r="Q70" s="66"/>
      <c r="R70" s="25"/>
      <c r="S70" s="36"/>
      <c r="T70" s="53">
        <f>T69-E70+150000</f>
        <v>101938</v>
      </c>
      <c r="U70" s="42"/>
      <c r="V70" s="42"/>
      <c r="W70" s="42"/>
      <c r="X70" s="42"/>
      <c r="Y70" s="42"/>
    </row>
    <row r="71" ht="15.75" customHeight="1" spans="1:25" x14ac:dyDescent="0.25">
      <c r="A71" s="25" t="s">
        <v>769</v>
      </c>
      <c r="B71" s="35">
        <v>731</v>
      </c>
      <c r="C71" s="25" t="s">
        <v>770</v>
      </c>
      <c r="D71" s="25" t="s">
        <v>771</v>
      </c>
      <c r="E71" s="53">
        <v>24000</v>
      </c>
      <c r="F71" s="50"/>
      <c r="G71" s="25"/>
      <c r="H71" s="25"/>
      <c r="I71" s="65"/>
      <c r="J71" s="66"/>
      <c r="K71" s="66"/>
      <c r="L71" s="66"/>
      <c r="M71" s="66"/>
      <c r="N71" s="66"/>
      <c r="O71" s="66"/>
      <c r="P71" s="66"/>
      <c r="Q71" s="66"/>
      <c r="R71" s="25">
        <v>24000</v>
      </c>
      <c r="S71" s="36"/>
      <c r="T71" s="53">
        <f>T70-E71</f>
        <v>77938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772</v>
      </c>
      <c r="B72" s="35"/>
      <c r="C72" s="25" t="s">
        <v>773</v>
      </c>
      <c r="D72" s="25"/>
      <c r="E72" s="53"/>
      <c r="F72" s="50">
        <v>8000</v>
      </c>
      <c r="G72" s="35"/>
      <c r="H72" s="35"/>
      <c r="I72" s="53"/>
      <c r="J72" s="66"/>
      <c r="K72" s="66"/>
      <c r="L72" s="66"/>
      <c r="M72" s="66"/>
      <c r="N72" s="66"/>
      <c r="O72" s="66"/>
      <c r="P72" s="66"/>
      <c r="Q72" s="66"/>
      <c r="R72" s="25"/>
      <c r="S72" s="36"/>
      <c r="T72" s="53">
        <f>T71-E72+8000</f>
        <v>85938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732</v>
      </c>
      <c r="C73" s="25" t="s">
        <v>774</v>
      </c>
      <c r="D73" s="25" t="s">
        <v>775</v>
      </c>
      <c r="E73" s="53">
        <v>1750</v>
      </c>
      <c r="F73" s="50"/>
      <c r="G73" s="35"/>
      <c r="H73" s="35"/>
      <c r="I73" s="53"/>
      <c r="J73" s="66"/>
      <c r="K73" s="66"/>
      <c r="L73" s="66"/>
      <c r="M73" s="66"/>
      <c r="N73" s="66"/>
      <c r="O73" s="66"/>
      <c r="P73" s="66">
        <v>1750</v>
      </c>
      <c r="Q73" s="66"/>
      <c r="R73" s="25"/>
      <c r="S73" s="36"/>
      <c r="T73" s="53">
        <f t="shared" ref="T73:T111" si="9">T72-E73</f>
        <v>84188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733</v>
      </c>
      <c r="C74" s="25" t="s">
        <v>776</v>
      </c>
      <c r="D74" s="25" t="s">
        <v>777</v>
      </c>
      <c r="E74" s="53">
        <v>2100</v>
      </c>
      <c r="F74" s="50"/>
      <c r="G74" s="35"/>
      <c r="H74" s="35"/>
      <c r="I74" s="53"/>
      <c r="J74" s="66"/>
      <c r="K74" s="66"/>
      <c r="L74" s="66"/>
      <c r="M74" s="66"/>
      <c r="N74" s="66"/>
      <c r="O74" s="66"/>
      <c r="P74" s="66">
        <v>2100</v>
      </c>
      <c r="Q74" s="66"/>
      <c r="R74" s="25"/>
      <c r="S74" s="36"/>
      <c r="T74" s="53">
        <f t="shared" si="9"/>
        <v>82088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>
        <v>734</v>
      </c>
      <c r="C75" s="25" t="s">
        <v>778</v>
      </c>
      <c r="D75" s="25" t="s">
        <v>779</v>
      </c>
      <c r="E75" s="53">
        <v>5000</v>
      </c>
      <c r="F75" s="50"/>
      <c r="G75" s="35"/>
      <c r="H75" s="35"/>
      <c r="I75" s="53"/>
      <c r="J75" s="66"/>
      <c r="K75" s="66"/>
      <c r="L75" s="66"/>
      <c r="M75" s="66"/>
      <c r="N75" s="66"/>
      <c r="O75" s="66"/>
      <c r="P75" s="66">
        <v>5000</v>
      </c>
      <c r="Q75" s="66"/>
      <c r="R75" s="25"/>
      <c r="S75" s="36"/>
      <c r="T75" s="53">
        <f t="shared" si="9"/>
        <v>77088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>
        <v>735</v>
      </c>
      <c r="C76" s="25" t="s">
        <v>780</v>
      </c>
      <c r="D76" s="25" t="s">
        <v>781</v>
      </c>
      <c r="E76" s="53">
        <v>2250</v>
      </c>
      <c r="F76" s="50"/>
      <c r="G76" s="35"/>
      <c r="H76" s="35"/>
      <c r="I76" s="53"/>
      <c r="J76" s="66"/>
      <c r="K76" s="67"/>
      <c r="L76" s="66"/>
      <c r="M76" s="66"/>
      <c r="N76" s="66"/>
      <c r="O76" s="66"/>
      <c r="P76" s="66">
        <v>2250</v>
      </c>
      <c r="Q76" s="66"/>
      <c r="R76" s="25"/>
      <c r="S76" s="36"/>
      <c r="T76" s="53">
        <f t="shared" si="9"/>
        <v>74838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736</v>
      </c>
      <c r="C77" s="25" t="s">
        <v>782</v>
      </c>
      <c r="D77" s="25" t="s">
        <v>775</v>
      </c>
      <c r="E77" s="53">
        <v>1750</v>
      </c>
      <c r="F77" s="50"/>
      <c r="G77" s="35"/>
      <c r="H77" s="35"/>
      <c r="I77" s="53"/>
      <c r="J77" s="66"/>
      <c r="K77" s="66"/>
      <c r="L77" s="66"/>
      <c r="M77" s="66"/>
      <c r="N77" s="66"/>
      <c r="O77" s="66"/>
      <c r="P77" s="66">
        <v>1750</v>
      </c>
      <c r="Q77" s="66"/>
      <c r="R77" s="25"/>
      <c r="S77" s="36"/>
      <c r="T77" s="53">
        <f t="shared" si="9"/>
        <v>73088</v>
      </c>
      <c r="U77" s="42"/>
      <c r="V77" s="42"/>
      <c r="W77" s="42"/>
      <c r="X77" s="42"/>
      <c r="Y77" s="42"/>
    </row>
    <row r="78" ht="15.75" customHeight="1" spans="1:25" x14ac:dyDescent="0.25">
      <c r="A78" s="25" t="s">
        <v>783</v>
      </c>
      <c r="B78" s="35">
        <v>737</v>
      </c>
      <c r="C78" s="25" t="s">
        <v>784</v>
      </c>
      <c r="D78" s="25" t="s">
        <v>785</v>
      </c>
      <c r="E78" s="53">
        <v>13000</v>
      </c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>
        <v>13000</v>
      </c>
      <c r="Q78" s="66"/>
      <c r="R78" s="25"/>
      <c r="S78" s="36"/>
      <c r="T78" s="53">
        <f t="shared" si="9"/>
        <v>60088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738</v>
      </c>
      <c r="C79" s="25" t="s">
        <v>13</v>
      </c>
      <c r="D79" s="25" t="s">
        <v>636</v>
      </c>
      <c r="E79" s="53">
        <v>10000</v>
      </c>
      <c r="F79" s="50"/>
      <c r="G79" s="35"/>
      <c r="H79" s="25"/>
      <c r="I79" s="65"/>
      <c r="J79" s="66"/>
      <c r="K79" s="66"/>
      <c r="L79" s="66"/>
      <c r="M79" s="66"/>
      <c r="N79" s="66"/>
      <c r="O79" s="66"/>
      <c r="P79" s="66"/>
      <c r="Q79" s="66">
        <v>10000</v>
      </c>
      <c r="R79" s="25"/>
      <c r="S79" s="36"/>
      <c r="T79" s="53">
        <f t="shared" si="9"/>
        <v>50088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739</v>
      </c>
      <c r="C80" s="25" t="s">
        <v>300</v>
      </c>
      <c r="D80" s="25" t="s">
        <v>786</v>
      </c>
      <c r="E80" s="53">
        <v>3500</v>
      </c>
      <c r="F80" s="68"/>
      <c r="G80" s="25"/>
      <c r="H80" s="25"/>
      <c r="I80" s="65"/>
      <c r="J80" s="66"/>
      <c r="K80" s="66">
        <v>3500</v>
      </c>
      <c r="L80" s="66"/>
      <c r="M80" s="66"/>
      <c r="N80" s="66"/>
      <c r="O80" s="66"/>
      <c r="P80" s="67"/>
      <c r="Q80" s="66"/>
      <c r="R80" s="25"/>
      <c r="S80" s="36"/>
      <c r="T80" s="53">
        <f t="shared" si="9"/>
        <v>46588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740</v>
      </c>
      <c r="C81" s="25" t="s">
        <v>57</v>
      </c>
      <c r="D81" s="25" t="s">
        <v>385</v>
      </c>
      <c r="E81" s="53">
        <v>400</v>
      </c>
      <c r="F81" s="50"/>
      <c r="G81" s="35"/>
      <c r="H81" s="25"/>
      <c r="I81" s="65"/>
      <c r="J81" s="66"/>
      <c r="K81" s="66"/>
      <c r="L81" s="66"/>
      <c r="M81" s="66"/>
      <c r="N81" s="66"/>
      <c r="O81" s="66"/>
      <c r="P81" s="66">
        <v>400</v>
      </c>
      <c r="Q81" s="67"/>
      <c r="R81" s="25"/>
      <c r="S81" s="36"/>
      <c r="T81" s="53">
        <f t="shared" si="9"/>
        <v>46188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741</v>
      </c>
      <c r="C82" s="25" t="s">
        <v>787</v>
      </c>
      <c r="D82" s="25" t="s">
        <v>788</v>
      </c>
      <c r="E82" s="53">
        <v>1870</v>
      </c>
      <c r="F82" s="50"/>
      <c r="G82" s="35"/>
      <c r="H82" s="25"/>
      <c r="I82" s="65"/>
      <c r="J82" s="66"/>
      <c r="K82" s="66"/>
      <c r="L82" s="66"/>
      <c r="M82" s="66"/>
      <c r="N82" s="66"/>
      <c r="O82" s="66"/>
      <c r="P82" s="67"/>
      <c r="Q82" s="66"/>
      <c r="R82" s="25">
        <v>1870</v>
      </c>
      <c r="S82" s="36"/>
      <c r="T82" s="53">
        <f t="shared" si="9"/>
        <v>44318</v>
      </c>
      <c r="U82" s="42"/>
      <c r="V82" s="42"/>
      <c r="W82" s="42"/>
      <c r="X82" s="42"/>
      <c r="Y82" s="42"/>
    </row>
    <row r="83" ht="15.75" customHeight="1" spans="1:25" x14ac:dyDescent="0.25">
      <c r="A83" s="25" t="s">
        <v>789</v>
      </c>
      <c r="B83" s="35">
        <v>742</v>
      </c>
      <c r="C83" s="25" t="s">
        <v>753</v>
      </c>
      <c r="D83" s="25" t="s">
        <v>270</v>
      </c>
      <c r="E83" s="53">
        <v>1350</v>
      </c>
      <c r="F83" s="50"/>
      <c r="G83" s="35"/>
      <c r="H83" s="35"/>
      <c r="I83" s="53"/>
      <c r="J83" s="66"/>
      <c r="K83" s="66"/>
      <c r="L83" s="66"/>
      <c r="M83" s="66"/>
      <c r="N83" s="66">
        <v>1350</v>
      </c>
      <c r="O83" s="66"/>
      <c r="P83" s="67"/>
      <c r="Q83" s="66"/>
      <c r="R83" s="25"/>
      <c r="S83" s="36"/>
      <c r="T83" s="53">
        <f t="shared" si="9"/>
        <v>42968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743</v>
      </c>
      <c r="C84" s="25" t="s">
        <v>425</v>
      </c>
      <c r="D84" s="25" t="s">
        <v>54</v>
      </c>
      <c r="E84" s="53">
        <v>1440</v>
      </c>
      <c r="F84" s="50"/>
      <c r="G84" s="35">
        <v>12</v>
      </c>
      <c r="H84" s="35">
        <v>120</v>
      </c>
      <c r="I84" s="53">
        <v>1440</v>
      </c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9"/>
        <v>41528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>
        <v>744</v>
      </c>
      <c r="C85" s="25" t="s">
        <v>790</v>
      </c>
      <c r="D85" s="25" t="s">
        <v>54</v>
      </c>
      <c r="E85" s="53">
        <v>400</v>
      </c>
      <c r="F85" s="50"/>
      <c r="G85" s="35">
        <v>2</v>
      </c>
      <c r="H85" s="35">
        <v>200</v>
      </c>
      <c r="I85" s="53">
        <v>400</v>
      </c>
      <c r="J85" s="66"/>
      <c r="K85" s="66"/>
      <c r="L85" s="66"/>
      <c r="M85" s="66"/>
      <c r="N85" s="66"/>
      <c r="O85" s="66"/>
      <c r="P85" s="66"/>
      <c r="Q85" s="66"/>
      <c r="R85" s="25"/>
      <c r="S85" s="36"/>
      <c r="T85" s="53">
        <f t="shared" si="9"/>
        <v>41128</v>
      </c>
      <c r="U85" s="42"/>
      <c r="V85" s="42"/>
      <c r="W85" s="42"/>
      <c r="X85" s="42"/>
      <c r="Y85" s="42"/>
    </row>
    <row r="86" ht="15.75" customHeight="1" spans="1:25" x14ac:dyDescent="0.25">
      <c r="A86" s="25"/>
      <c r="B86" s="35">
        <v>745</v>
      </c>
      <c r="C86" s="25" t="s">
        <v>440</v>
      </c>
      <c r="D86" s="25" t="s">
        <v>791</v>
      </c>
      <c r="E86" s="53">
        <v>1200</v>
      </c>
      <c r="F86" s="50"/>
      <c r="G86" s="35">
        <v>12</v>
      </c>
      <c r="H86" s="35">
        <v>100</v>
      </c>
      <c r="I86" s="53">
        <v>1200</v>
      </c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9"/>
        <v>39928</v>
      </c>
      <c r="U86" s="42"/>
      <c r="V86" s="42"/>
      <c r="W86" s="42"/>
      <c r="X86" s="42"/>
      <c r="Y86" s="42"/>
    </row>
    <row r="87" ht="15.75" customHeight="1" spans="1:25" x14ac:dyDescent="0.25">
      <c r="A87" s="25" t="s">
        <v>792</v>
      </c>
      <c r="B87" s="35">
        <v>746</v>
      </c>
      <c r="C87" s="25" t="s">
        <v>793</v>
      </c>
      <c r="D87" s="25" t="s">
        <v>279</v>
      </c>
      <c r="E87" s="53">
        <v>2000</v>
      </c>
      <c r="F87" s="50"/>
      <c r="G87" s="25"/>
      <c r="H87" s="25"/>
      <c r="I87" s="65"/>
      <c r="J87" s="66"/>
      <c r="K87" s="66"/>
      <c r="L87" s="66"/>
      <c r="M87" s="66"/>
      <c r="N87" s="66"/>
      <c r="O87" s="66"/>
      <c r="P87" s="66">
        <v>2000</v>
      </c>
      <c r="Q87" s="66"/>
      <c r="R87" s="25"/>
      <c r="S87" s="36"/>
      <c r="T87" s="53">
        <f t="shared" si="9"/>
        <v>37928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747</v>
      </c>
      <c r="C88" s="25" t="s">
        <v>732</v>
      </c>
      <c r="D88" s="25" t="s">
        <v>28</v>
      </c>
      <c r="E88" s="53">
        <v>2100</v>
      </c>
      <c r="F88" s="50"/>
      <c r="G88" s="25"/>
      <c r="H88" s="25"/>
      <c r="I88" s="65"/>
      <c r="J88" s="66"/>
      <c r="K88" s="66"/>
      <c r="L88" s="66">
        <v>2100</v>
      </c>
      <c r="M88" s="66"/>
      <c r="N88" s="66"/>
      <c r="O88" s="66"/>
      <c r="P88" s="66"/>
      <c r="Q88" s="66"/>
      <c r="R88" s="25"/>
      <c r="S88" s="36"/>
      <c r="T88" s="53">
        <f t="shared" si="9"/>
        <v>35828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748</v>
      </c>
      <c r="C89" s="25" t="s">
        <v>794</v>
      </c>
      <c r="D89" s="25" t="s">
        <v>214</v>
      </c>
      <c r="E89" s="53">
        <v>530</v>
      </c>
      <c r="F89" s="50"/>
      <c r="G89" s="25"/>
      <c r="H89" s="25"/>
      <c r="I89" s="65"/>
      <c r="J89" s="66"/>
      <c r="K89" s="66"/>
      <c r="L89" s="66"/>
      <c r="M89" s="66"/>
      <c r="N89" s="66"/>
      <c r="O89" s="66"/>
      <c r="P89" s="66">
        <v>530</v>
      </c>
      <c r="Q89" s="66"/>
      <c r="R89" s="25"/>
      <c r="S89" s="36"/>
      <c r="T89" s="53">
        <f t="shared" si="9"/>
        <v>35298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>
        <v>749</v>
      </c>
      <c r="C90" s="25" t="s">
        <v>790</v>
      </c>
      <c r="D90" s="25" t="s">
        <v>618</v>
      </c>
      <c r="E90" s="53">
        <v>700</v>
      </c>
      <c r="F90" s="50"/>
      <c r="G90" s="35">
        <v>3.5</v>
      </c>
      <c r="H90" s="35">
        <v>200</v>
      </c>
      <c r="I90" s="53">
        <v>700</v>
      </c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9"/>
        <v>34598</v>
      </c>
      <c r="U90" s="42"/>
      <c r="V90" s="42"/>
      <c r="W90" s="42"/>
      <c r="X90" s="42"/>
      <c r="Y90" s="42"/>
    </row>
    <row r="91" ht="15.75" customHeight="1" spans="1:25" x14ac:dyDescent="0.25">
      <c r="A91" s="25" t="s">
        <v>795</v>
      </c>
      <c r="B91" s="35">
        <v>750</v>
      </c>
      <c r="C91" s="25" t="s">
        <v>790</v>
      </c>
      <c r="D91" s="25" t="s">
        <v>91</v>
      </c>
      <c r="E91" s="53">
        <v>1000</v>
      </c>
      <c r="F91" s="50"/>
      <c r="G91" s="35">
        <v>5</v>
      </c>
      <c r="H91" s="35">
        <v>200</v>
      </c>
      <c r="I91" s="53">
        <v>1000</v>
      </c>
      <c r="J91" s="66"/>
      <c r="K91" s="66"/>
      <c r="L91" s="66"/>
      <c r="M91" s="66"/>
      <c r="N91" s="66"/>
      <c r="O91" s="66"/>
      <c r="P91" s="66"/>
      <c r="Q91" s="66"/>
      <c r="R91" s="25"/>
      <c r="S91" s="36"/>
      <c r="T91" s="53">
        <f t="shared" si="9"/>
        <v>33598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751</v>
      </c>
      <c r="C92" s="25" t="s">
        <v>796</v>
      </c>
      <c r="D92" s="25" t="s">
        <v>411</v>
      </c>
      <c r="E92" s="53">
        <v>550</v>
      </c>
      <c r="F92" s="50"/>
      <c r="G92" s="35"/>
      <c r="H92" s="35"/>
      <c r="I92" s="53"/>
      <c r="J92" s="66"/>
      <c r="K92" s="66"/>
      <c r="L92" s="66"/>
      <c r="M92" s="66"/>
      <c r="N92" s="66"/>
      <c r="O92" s="66"/>
      <c r="P92" s="66">
        <v>550</v>
      </c>
      <c r="Q92" s="66"/>
      <c r="R92" s="25"/>
      <c r="S92" s="36"/>
      <c r="T92" s="53">
        <f t="shared" si="9"/>
        <v>33048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752</v>
      </c>
      <c r="C93" s="25" t="s">
        <v>797</v>
      </c>
      <c r="D93" s="25" t="s">
        <v>279</v>
      </c>
      <c r="E93" s="53">
        <v>260</v>
      </c>
      <c r="F93" s="50"/>
      <c r="G93" s="35"/>
      <c r="H93" s="35"/>
      <c r="I93" s="53"/>
      <c r="J93" s="66"/>
      <c r="K93" s="66"/>
      <c r="L93" s="66"/>
      <c r="M93" s="66"/>
      <c r="N93" s="66"/>
      <c r="O93" s="66">
        <v>260</v>
      </c>
      <c r="P93" s="66"/>
      <c r="Q93" s="66"/>
      <c r="R93" s="25"/>
      <c r="S93" s="36"/>
      <c r="T93" s="53">
        <f t="shared" si="9"/>
        <v>32788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>
        <v>753</v>
      </c>
      <c r="C94" s="25" t="s">
        <v>594</v>
      </c>
      <c r="D94" s="25" t="s">
        <v>119</v>
      </c>
      <c r="E94" s="53">
        <v>500</v>
      </c>
      <c r="F94" s="50"/>
      <c r="G94" s="35"/>
      <c r="H94" s="35"/>
      <c r="I94" s="53"/>
      <c r="J94" s="66"/>
      <c r="K94" s="67"/>
      <c r="L94" s="66"/>
      <c r="M94" s="66">
        <v>500</v>
      </c>
      <c r="N94" s="66"/>
      <c r="O94" s="66"/>
      <c r="P94" s="66"/>
      <c r="Q94" s="66"/>
      <c r="R94" s="25"/>
      <c r="S94" s="36"/>
      <c r="T94" s="53">
        <f t="shared" si="9"/>
        <v>32288</v>
      </c>
      <c r="U94" s="42"/>
      <c r="V94" s="42"/>
      <c r="W94" s="42"/>
      <c r="X94" s="42"/>
      <c r="Y94" s="42"/>
    </row>
    <row r="95" ht="15.75" customHeight="1" spans="1:25" x14ac:dyDescent="0.25">
      <c r="A95" s="25" t="s">
        <v>798</v>
      </c>
      <c r="B95" s="35">
        <v>754</v>
      </c>
      <c r="C95" s="25" t="s">
        <v>799</v>
      </c>
      <c r="D95" s="25" t="s">
        <v>138</v>
      </c>
      <c r="E95" s="53">
        <v>100</v>
      </c>
      <c r="F95" s="50"/>
      <c r="G95" s="35"/>
      <c r="H95" s="35"/>
      <c r="I95" s="53"/>
      <c r="J95" s="66"/>
      <c r="K95" s="66"/>
      <c r="L95" s="66"/>
      <c r="M95" s="66"/>
      <c r="N95" s="66"/>
      <c r="O95" s="66"/>
      <c r="P95" s="66"/>
      <c r="Q95" s="66"/>
      <c r="R95" s="25">
        <v>100</v>
      </c>
      <c r="S95" s="36"/>
      <c r="T95" s="53">
        <f t="shared" si="9"/>
        <v>32188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>
        <v>755</v>
      </c>
      <c r="C96" s="25" t="s">
        <v>800</v>
      </c>
      <c r="D96" s="25" t="s">
        <v>411</v>
      </c>
      <c r="E96" s="53">
        <v>562</v>
      </c>
      <c r="F96" s="50"/>
      <c r="G96" s="35"/>
      <c r="H96" s="35"/>
      <c r="I96" s="53"/>
      <c r="J96" s="66"/>
      <c r="K96" s="66"/>
      <c r="L96" s="66"/>
      <c r="M96" s="66"/>
      <c r="N96" s="66"/>
      <c r="O96" s="66"/>
      <c r="P96" s="66">
        <v>562</v>
      </c>
      <c r="Q96" s="66"/>
      <c r="R96" s="25"/>
      <c r="S96" s="36"/>
      <c r="T96" s="53">
        <f t="shared" si="9"/>
        <v>31626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756</v>
      </c>
      <c r="C97" s="25" t="s">
        <v>801</v>
      </c>
      <c r="D97" s="25" t="s">
        <v>411</v>
      </c>
      <c r="E97" s="53">
        <v>1780</v>
      </c>
      <c r="F97" s="50"/>
      <c r="G97" s="35"/>
      <c r="H97" s="25"/>
      <c r="I97" s="53"/>
      <c r="J97" s="66"/>
      <c r="K97" s="66"/>
      <c r="L97" s="66"/>
      <c r="M97" s="66"/>
      <c r="N97" s="66"/>
      <c r="O97" s="66"/>
      <c r="P97" s="66">
        <v>1780</v>
      </c>
      <c r="Q97" s="67"/>
      <c r="R97" s="25"/>
      <c r="S97" s="36"/>
      <c r="T97" s="53">
        <f t="shared" si="9"/>
        <v>29846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>
        <v>757</v>
      </c>
      <c r="C98" s="25" t="s">
        <v>802</v>
      </c>
      <c r="D98" s="25" t="s">
        <v>803</v>
      </c>
      <c r="E98" s="53">
        <v>1000</v>
      </c>
      <c r="F98" s="50"/>
      <c r="G98" s="25"/>
      <c r="H98" s="25"/>
      <c r="I98" s="65"/>
      <c r="J98" s="66"/>
      <c r="K98" s="66">
        <v>1000</v>
      </c>
      <c r="L98" s="66"/>
      <c r="M98" s="66"/>
      <c r="N98" s="66"/>
      <c r="O98" s="66"/>
      <c r="P98" s="66"/>
      <c r="Q98" s="66"/>
      <c r="R98" s="25"/>
      <c r="S98" s="36"/>
      <c r="T98" s="53">
        <f t="shared" si="9"/>
        <v>28846</v>
      </c>
      <c r="U98" s="42"/>
      <c r="V98" s="42"/>
      <c r="W98" s="42"/>
      <c r="X98" s="42"/>
      <c r="Y98" s="42"/>
    </row>
    <row r="99" ht="15.75" customHeight="1" spans="1:25" x14ac:dyDescent="0.25">
      <c r="A99" s="25" t="s">
        <v>804</v>
      </c>
      <c r="B99" s="35">
        <v>758</v>
      </c>
      <c r="C99" s="25" t="s">
        <v>805</v>
      </c>
      <c r="D99" s="25" t="s">
        <v>174</v>
      </c>
      <c r="E99" s="53">
        <v>3300</v>
      </c>
      <c r="F99" s="50"/>
      <c r="G99" s="35">
        <v>15</v>
      </c>
      <c r="H99" s="35">
        <v>220</v>
      </c>
      <c r="I99" s="53">
        <v>3300</v>
      </c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9"/>
        <v>25546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759</v>
      </c>
      <c r="C100" s="25" t="s">
        <v>806</v>
      </c>
      <c r="D100" s="25" t="s">
        <v>649</v>
      </c>
      <c r="E100" s="53">
        <v>462</v>
      </c>
      <c r="F100" s="50"/>
      <c r="G100" s="35"/>
      <c r="H100" s="35"/>
      <c r="I100" s="53">
        <v>462</v>
      </c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si="9"/>
        <v>25084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>
        <v>760</v>
      </c>
      <c r="C101" s="25" t="s">
        <v>802</v>
      </c>
      <c r="D101" s="25" t="s">
        <v>803</v>
      </c>
      <c r="E101" s="53">
        <v>1000</v>
      </c>
      <c r="F101" s="50"/>
      <c r="G101" s="35"/>
      <c r="H101" s="35"/>
      <c r="I101" s="53"/>
      <c r="J101" s="66"/>
      <c r="K101" s="66">
        <v>1000</v>
      </c>
      <c r="L101" s="66"/>
      <c r="M101" s="66"/>
      <c r="N101" s="66"/>
      <c r="O101" s="66"/>
      <c r="P101" s="66"/>
      <c r="Q101" s="66"/>
      <c r="R101" s="25"/>
      <c r="S101" s="36"/>
      <c r="T101" s="53">
        <f t="shared" si="9"/>
        <v>24084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761</v>
      </c>
      <c r="C102" s="25" t="s">
        <v>807</v>
      </c>
      <c r="D102" s="25" t="s">
        <v>453</v>
      </c>
      <c r="E102" s="53">
        <v>1100</v>
      </c>
      <c r="F102" s="50"/>
      <c r="G102" s="35">
        <v>11</v>
      </c>
      <c r="H102" s="35">
        <v>100</v>
      </c>
      <c r="I102" s="53">
        <v>1100</v>
      </c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si="9"/>
        <v>22984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762</v>
      </c>
      <c r="C103" s="25" t="s">
        <v>429</v>
      </c>
      <c r="D103" s="25" t="s">
        <v>453</v>
      </c>
      <c r="E103" s="53">
        <v>160</v>
      </c>
      <c r="F103" s="50"/>
      <c r="G103" s="35">
        <v>2</v>
      </c>
      <c r="H103" s="35">
        <v>80</v>
      </c>
      <c r="I103" s="53">
        <v>160</v>
      </c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9"/>
        <v>22824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763</v>
      </c>
      <c r="C104" s="25" t="s">
        <v>559</v>
      </c>
      <c r="D104" s="25" t="s">
        <v>453</v>
      </c>
      <c r="E104" s="53">
        <v>1000</v>
      </c>
      <c r="F104" s="50"/>
      <c r="G104" s="35">
        <v>10</v>
      </c>
      <c r="H104" s="53">
        <v>100</v>
      </c>
      <c r="I104" s="53">
        <v>1000</v>
      </c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9"/>
        <v>21824</v>
      </c>
      <c r="U104" s="42"/>
      <c r="V104" s="42"/>
      <c r="W104" s="42"/>
      <c r="X104" s="42"/>
      <c r="Y104" s="42"/>
    </row>
    <row r="105" ht="15.75" customHeight="1" spans="1:25" x14ac:dyDescent="0.25">
      <c r="A105" s="25" t="s">
        <v>808</v>
      </c>
      <c r="B105" s="35">
        <v>764</v>
      </c>
      <c r="C105" s="25" t="s">
        <v>809</v>
      </c>
      <c r="D105" s="25" t="s">
        <v>810</v>
      </c>
      <c r="E105" s="53">
        <v>900</v>
      </c>
      <c r="F105" s="50"/>
      <c r="G105" s="35"/>
      <c r="H105" s="35"/>
      <c r="I105" s="65"/>
      <c r="J105" s="66"/>
      <c r="K105" s="66"/>
      <c r="L105" s="66"/>
      <c r="M105" s="67"/>
      <c r="N105" s="66"/>
      <c r="O105" s="66"/>
      <c r="P105" s="66">
        <v>900</v>
      </c>
      <c r="Q105" s="66"/>
      <c r="R105" s="25"/>
      <c r="S105" s="36"/>
      <c r="T105" s="53">
        <f t="shared" si="9"/>
        <v>20924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>
        <v>765</v>
      </c>
      <c r="C106" s="25" t="s">
        <v>811</v>
      </c>
      <c r="D106" s="25" t="s">
        <v>812</v>
      </c>
      <c r="E106" s="53">
        <v>300</v>
      </c>
      <c r="F106" s="50"/>
      <c r="G106" s="35"/>
      <c r="H106" s="35"/>
      <c r="I106" s="65"/>
      <c r="J106" s="66"/>
      <c r="K106" s="66"/>
      <c r="L106" s="66"/>
      <c r="M106" s="66"/>
      <c r="N106" s="66"/>
      <c r="O106" s="66"/>
      <c r="P106" s="66">
        <v>300</v>
      </c>
      <c r="Q106" s="66"/>
      <c r="R106" s="25"/>
      <c r="S106" s="36"/>
      <c r="T106" s="53">
        <f t="shared" si="9"/>
        <v>20624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>
        <v>766</v>
      </c>
      <c r="C107" s="25" t="s">
        <v>216</v>
      </c>
      <c r="D107" s="25" t="s">
        <v>119</v>
      </c>
      <c r="E107" s="53">
        <v>1000</v>
      </c>
      <c r="F107" s="50"/>
      <c r="G107" s="25"/>
      <c r="H107" s="25"/>
      <c r="I107" s="65"/>
      <c r="J107" s="66"/>
      <c r="K107" s="66"/>
      <c r="L107" s="66"/>
      <c r="M107" s="66">
        <v>1000</v>
      </c>
      <c r="N107" s="66"/>
      <c r="O107" s="66"/>
      <c r="P107" s="66"/>
      <c r="Q107" s="66"/>
      <c r="R107" s="25"/>
      <c r="S107" s="36"/>
      <c r="T107" s="53">
        <f t="shared" si="9"/>
        <v>19624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>
        <v>767</v>
      </c>
      <c r="C108" s="25" t="s">
        <v>222</v>
      </c>
      <c r="D108" s="25" t="s">
        <v>813</v>
      </c>
      <c r="E108" s="53">
        <v>360</v>
      </c>
      <c r="F108" s="50"/>
      <c r="G108" s="35"/>
      <c r="H108" s="35"/>
      <c r="I108" s="53"/>
      <c r="J108" s="66"/>
      <c r="K108" s="66"/>
      <c r="L108" s="66"/>
      <c r="M108" s="66"/>
      <c r="N108" s="66"/>
      <c r="O108" s="66"/>
      <c r="P108" s="66">
        <v>360</v>
      </c>
      <c r="Q108" s="66"/>
      <c r="R108" s="25"/>
      <c r="S108" s="36"/>
      <c r="T108" s="53">
        <f t="shared" si="9"/>
        <v>19264</v>
      </c>
      <c r="U108" s="42"/>
      <c r="V108" s="42"/>
      <c r="W108" s="42"/>
      <c r="X108" s="42"/>
      <c r="Y108" s="42"/>
    </row>
    <row r="109" ht="15.75" customHeight="1" spans="1:25" x14ac:dyDescent="0.25">
      <c r="A109" s="25"/>
      <c r="B109" s="35">
        <v>768</v>
      </c>
      <c r="C109" s="25" t="s">
        <v>814</v>
      </c>
      <c r="D109" s="25" t="s">
        <v>28</v>
      </c>
      <c r="E109" s="53">
        <v>570</v>
      </c>
      <c r="F109" s="50"/>
      <c r="G109" s="35"/>
      <c r="H109" s="35"/>
      <c r="I109" s="53">
        <v>570</v>
      </c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9"/>
        <v>18694</v>
      </c>
      <c r="U109" s="42"/>
      <c r="V109" s="42"/>
      <c r="W109" s="42"/>
      <c r="X109" s="42"/>
      <c r="Y109" s="42"/>
    </row>
    <row r="110" ht="15.75" customHeight="1" spans="1:25" x14ac:dyDescent="0.25">
      <c r="A110" s="25" t="s">
        <v>815</v>
      </c>
      <c r="B110" s="35">
        <v>769</v>
      </c>
      <c r="C110" s="25" t="s">
        <v>816</v>
      </c>
      <c r="D110" s="25" t="s">
        <v>817</v>
      </c>
      <c r="E110" s="53">
        <v>1150</v>
      </c>
      <c r="F110" s="50"/>
      <c r="G110" s="35"/>
      <c r="H110" s="35"/>
      <c r="I110" s="53"/>
      <c r="J110" s="66"/>
      <c r="K110" s="66"/>
      <c r="L110" s="66"/>
      <c r="M110" s="66"/>
      <c r="N110" s="66"/>
      <c r="O110" s="66"/>
      <c r="P110" s="66">
        <v>1150</v>
      </c>
      <c r="Q110" s="66"/>
      <c r="R110" s="25"/>
      <c r="S110" s="36"/>
      <c r="T110" s="53">
        <f t="shared" si="9"/>
        <v>17544</v>
      </c>
      <c r="U110" s="42"/>
      <c r="V110" s="42"/>
      <c r="W110" s="42"/>
      <c r="X110" s="42"/>
      <c r="Y110" s="42"/>
    </row>
    <row r="111" ht="15.75" customHeight="1" spans="1:25" x14ac:dyDescent="0.25">
      <c r="A111" s="25" t="s">
        <v>818</v>
      </c>
      <c r="B111" s="35">
        <v>770</v>
      </c>
      <c r="C111" s="25" t="s">
        <v>676</v>
      </c>
      <c r="D111" s="25" t="s">
        <v>54</v>
      </c>
      <c r="E111" s="53">
        <v>15400</v>
      </c>
      <c r="F111" s="50"/>
      <c r="G111" s="35">
        <v>54</v>
      </c>
      <c r="H111" s="35">
        <v>100</v>
      </c>
      <c r="I111" s="53">
        <v>15400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9"/>
        <v>2144</v>
      </c>
      <c r="U111" s="42"/>
      <c r="V111" s="42"/>
      <c r="W111" s="42"/>
      <c r="X111" s="42"/>
      <c r="Y111" s="42"/>
    </row>
    <row r="112" ht="15.75" customHeight="1" spans="1:25" x14ac:dyDescent="0.25">
      <c r="A112" s="25" t="s">
        <v>819</v>
      </c>
      <c r="B112" s="35"/>
      <c r="C112" s="25" t="s">
        <v>820</v>
      </c>
      <c r="D112" s="25"/>
      <c r="E112" s="53"/>
      <c r="F112" s="68">
        <v>100000</v>
      </c>
      <c r="G112" s="35"/>
      <c r="H112" s="35"/>
      <c r="I112" s="53"/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>T111-E112+100000</f>
        <v>102144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>
        <v>771</v>
      </c>
      <c r="C113" s="25" t="s">
        <v>429</v>
      </c>
      <c r="D113" s="25" t="s">
        <v>821</v>
      </c>
      <c r="E113" s="53">
        <v>560</v>
      </c>
      <c r="F113" s="50"/>
      <c r="G113" s="35">
        <v>7</v>
      </c>
      <c r="H113" s="35">
        <v>80</v>
      </c>
      <c r="I113" s="53">
        <v>560</v>
      </c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 t="shared" ref="T113:T176" si="10">T112-E113</f>
        <v>101584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>
        <v>772</v>
      </c>
      <c r="C114" s="25" t="s">
        <v>322</v>
      </c>
      <c r="D114" s="25" t="s">
        <v>279</v>
      </c>
      <c r="E114" s="53">
        <v>180</v>
      </c>
      <c r="F114" s="50"/>
      <c r="G114" s="25"/>
      <c r="H114" s="25"/>
      <c r="I114" s="65"/>
      <c r="J114" s="66"/>
      <c r="K114" s="66"/>
      <c r="L114" s="66"/>
      <c r="M114" s="67"/>
      <c r="N114" s="66"/>
      <c r="O114" s="66">
        <v>180</v>
      </c>
      <c r="P114" s="66"/>
      <c r="Q114" s="66"/>
      <c r="R114" s="25"/>
      <c r="S114" s="36"/>
      <c r="T114" s="53">
        <f t="shared" si="10"/>
        <v>101404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>
        <v>773</v>
      </c>
      <c r="C115" s="25" t="s">
        <v>822</v>
      </c>
      <c r="D115" s="25" t="s">
        <v>295</v>
      </c>
      <c r="E115" s="53">
        <v>350</v>
      </c>
      <c r="F115" s="50"/>
      <c r="G115" s="35"/>
      <c r="H115" s="35"/>
      <c r="I115" s="53"/>
      <c r="J115" s="66"/>
      <c r="K115" s="66"/>
      <c r="L115" s="66"/>
      <c r="M115" s="66"/>
      <c r="N115" s="66"/>
      <c r="O115" s="66"/>
      <c r="P115" s="67"/>
      <c r="Q115" s="66"/>
      <c r="R115" s="25">
        <v>350</v>
      </c>
      <c r="S115" s="36"/>
      <c r="T115" s="53">
        <f t="shared" si="10"/>
        <v>101054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>
        <v>774</v>
      </c>
      <c r="C116" s="25" t="s">
        <v>560</v>
      </c>
      <c r="D116" s="25" t="s">
        <v>279</v>
      </c>
      <c r="E116" s="53">
        <v>225</v>
      </c>
      <c r="F116" s="50"/>
      <c r="G116" s="35"/>
      <c r="H116" s="35"/>
      <c r="I116" s="53"/>
      <c r="J116" s="66"/>
      <c r="K116" s="66"/>
      <c r="L116" s="66"/>
      <c r="M116" s="66"/>
      <c r="N116" s="66"/>
      <c r="O116" s="66">
        <v>225</v>
      </c>
      <c r="P116" s="66"/>
      <c r="Q116" s="66"/>
      <c r="R116" s="25"/>
      <c r="S116" s="55"/>
      <c r="T116" s="53">
        <f t="shared" si="10"/>
        <v>100829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>
        <v>775</v>
      </c>
      <c r="C117" s="25" t="s">
        <v>823</v>
      </c>
      <c r="D117" s="25" t="s">
        <v>824</v>
      </c>
      <c r="E117" s="53">
        <v>1250</v>
      </c>
      <c r="F117" s="50"/>
      <c r="G117" s="25"/>
      <c r="H117" s="25"/>
      <c r="I117" s="65">
        <v>1250</v>
      </c>
      <c r="J117" s="66"/>
      <c r="K117" s="66"/>
      <c r="L117" s="67"/>
      <c r="M117" s="66"/>
      <c r="N117" s="66"/>
      <c r="O117" s="66"/>
      <c r="P117" s="66"/>
      <c r="Q117" s="66"/>
      <c r="R117" s="25"/>
      <c r="S117" s="55"/>
      <c r="T117" s="53">
        <f t="shared" si="10"/>
        <v>99579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>
        <v>776</v>
      </c>
      <c r="C118" s="25" t="s">
        <v>825</v>
      </c>
      <c r="D118" s="25" t="s">
        <v>649</v>
      </c>
      <c r="E118" s="53">
        <v>5592</v>
      </c>
      <c r="F118" s="50"/>
      <c r="G118" s="25"/>
      <c r="H118" s="25"/>
      <c r="I118" s="65">
        <v>5592</v>
      </c>
      <c r="J118" s="66"/>
      <c r="K118" s="66"/>
      <c r="L118" s="66"/>
      <c r="M118" s="67"/>
      <c r="N118" s="66"/>
      <c r="O118" s="66"/>
      <c r="P118" s="66"/>
      <c r="Q118" s="66"/>
      <c r="R118" s="25"/>
      <c r="S118" s="55"/>
      <c r="T118" s="53">
        <f t="shared" si="10"/>
        <v>93987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>
        <v>777</v>
      </c>
      <c r="C119" s="25" t="s">
        <v>98</v>
      </c>
      <c r="D119" s="25" t="s">
        <v>119</v>
      </c>
      <c r="E119" s="53">
        <v>345</v>
      </c>
      <c r="F119" s="50"/>
      <c r="G119" s="25"/>
      <c r="H119" s="25"/>
      <c r="I119" s="65"/>
      <c r="J119" s="66"/>
      <c r="K119" s="66"/>
      <c r="L119" s="66"/>
      <c r="M119" s="66">
        <v>345</v>
      </c>
      <c r="N119" s="66"/>
      <c r="O119" s="66"/>
      <c r="P119" s="67"/>
      <c r="Q119" s="66"/>
      <c r="R119" s="25"/>
      <c r="S119" s="55"/>
      <c r="T119" s="53">
        <f t="shared" si="10"/>
        <v>93642</v>
      </c>
      <c r="U119" s="42"/>
      <c r="V119" s="42"/>
      <c r="W119" s="42"/>
      <c r="X119" s="42"/>
      <c r="Y119" s="42"/>
    </row>
    <row r="120" ht="15.75" customHeight="1" spans="1:25" x14ac:dyDescent="0.25">
      <c r="A120" s="25" t="s">
        <v>826</v>
      </c>
      <c r="B120" s="35">
        <v>778</v>
      </c>
      <c r="C120" s="25" t="s">
        <v>827</v>
      </c>
      <c r="D120" s="25" t="s">
        <v>828</v>
      </c>
      <c r="E120" s="53">
        <v>1000</v>
      </c>
      <c r="F120" s="50"/>
      <c r="G120" s="35"/>
      <c r="H120" s="25"/>
      <c r="I120" s="65"/>
      <c r="J120" s="66"/>
      <c r="K120" s="66">
        <v>1000</v>
      </c>
      <c r="L120" s="66"/>
      <c r="M120" s="66"/>
      <c r="N120" s="66"/>
      <c r="O120" s="66"/>
      <c r="P120" s="67"/>
      <c r="Q120" s="66"/>
      <c r="R120" s="25"/>
      <c r="S120" s="55"/>
      <c r="T120" s="53">
        <f t="shared" si="10"/>
        <v>92642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>
        <v>779</v>
      </c>
      <c r="C121" s="25" t="s">
        <v>829</v>
      </c>
      <c r="D121" s="25" t="s">
        <v>643</v>
      </c>
      <c r="E121" s="53">
        <v>3000</v>
      </c>
      <c r="F121" s="50"/>
      <c r="G121" s="35"/>
      <c r="H121" s="25"/>
      <c r="I121" s="65"/>
      <c r="J121" s="66"/>
      <c r="K121" s="66">
        <v>3000</v>
      </c>
      <c r="L121" s="66"/>
      <c r="M121" s="66"/>
      <c r="N121" s="66"/>
      <c r="O121" s="66"/>
      <c r="P121" s="66"/>
      <c r="Q121" s="67"/>
      <c r="R121" s="25"/>
      <c r="S121" s="55"/>
      <c r="T121" s="53">
        <f t="shared" si="10"/>
        <v>89642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>
        <v>780</v>
      </c>
      <c r="C122" s="25" t="s">
        <v>830</v>
      </c>
      <c r="D122" s="25" t="s">
        <v>745</v>
      </c>
      <c r="E122" s="53">
        <v>4000</v>
      </c>
      <c r="F122" s="50"/>
      <c r="G122" s="35">
        <v>10</v>
      </c>
      <c r="H122" s="25">
        <v>400</v>
      </c>
      <c r="I122" s="65">
        <v>4000</v>
      </c>
      <c r="J122" s="66"/>
      <c r="K122" s="66"/>
      <c r="L122" s="66"/>
      <c r="M122" s="66"/>
      <c r="N122" s="66"/>
      <c r="O122" s="66"/>
      <c r="P122" s="67"/>
      <c r="Q122" s="66"/>
      <c r="R122" s="25"/>
      <c r="S122" s="55"/>
      <c r="T122" s="53">
        <f t="shared" si="10"/>
        <v>85642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>
        <v>781</v>
      </c>
      <c r="C123" s="25" t="s">
        <v>831</v>
      </c>
      <c r="D123" s="25" t="s">
        <v>649</v>
      </c>
      <c r="E123" s="53">
        <v>1907</v>
      </c>
      <c r="F123" s="50"/>
      <c r="G123" s="35"/>
      <c r="H123" s="25"/>
      <c r="I123" s="65">
        <v>1907</v>
      </c>
      <c r="J123" s="66"/>
      <c r="K123" s="66"/>
      <c r="L123" s="66"/>
      <c r="M123" s="66"/>
      <c r="N123" s="66"/>
      <c r="O123" s="66"/>
      <c r="P123" s="66"/>
      <c r="Q123" s="66"/>
      <c r="R123" s="25"/>
      <c r="S123" s="36"/>
      <c r="T123" s="53">
        <f t="shared" si="10"/>
        <v>83735</v>
      </c>
      <c r="U123" s="42"/>
      <c r="V123" s="42"/>
      <c r="W123" s="42"/>
      <c r="X123" s="42"/>
      <c r="Y123" s="42"/>
    </row>
    <row r="124" ht="15.75" customHeight="1" spans="1:25" x14ac:dyDescent="0.25">
      <c r="A124" s="25" t="s">
        <v>832</v>
      </c>
      <c r="B124" s="35">
        <v>782</v>
      </c>
      <c r="C124" s="25" t="s">
        <v>429</v>
      </c>
      <c r="D124" s="25" t="s">
        <v>53</v>
      </c>
      <c r="E124" s="53">
        <v>1840</v>
      </c>
      <c r="F124" s="50"/>
      <c r="G124" s="35">
        <v>23</v>
      </c>
      <c r="H124" s="35">
        <v>80</v>
      </c>
      <c r="I124" s="53">
        <v>1840</v>
      </c>
      <c r="J124" s="66"/>
      <c r="K124" s="66"/>
      <c r="L124" s="66"/>
      <c r="M124" s="66"/>
      <c r="N124" s="66"/>
      <c r="O124" s="66"/>
      <c r="P124" s="66"/>
      <c r="Q124" s="66"/>
      <c r="R124" s="25"/>
      <c r="S124" s="36"/>
      <c r="T124" s="53">
        <f t="shared" si="10"/>
        <v>81895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783</v>
      </c>
      <c r="C125" s="25" t="s">
        <v>833</v>
      </c>
      <c r="D125" s="25" t="s">
        <v>28</v>
      </c>
      <c r="E125" s="53">
        <v>1780</v>
      </c>
      <c r="F125" s="50"/>
      <c r="G125" s="25"/>
      <c r="H125" s="25"/>
      <c r="I125" s="65"/>
      <c r="J125" s="66"/>
      <c r="K125" s="66"/>
      <c r="L125" s="66">
        <v>1780</v>
      </c>
      <c r="M125" s="66"/>
      <c r="N125" s="66"/>
      <c r="O125" s="66"/>
      <c r="P125" s="66"/>
      <c r="Q125" s="66"/>
      <c r="R125" s="25"/>
      <c r="S125" s="36"/>
      <c r="T125" s="53">
        <f t="shared" si="10"/>
        <v>80115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784</v>
      </c>
      <c r="C126" s="25" t="s">
        <v>13</v>
      </c>
      <c r="D126" s="25" t="s">
        <v>636</v>
      </c>
      <c r="E126" s="53">
        <v>2500</v>
      </c>
      <c r="F126" s="50"/>
      <c r="G126" s="25"/>
      <c r="H126" s="25"/>
      <c r="I126" s="65"/>
      <c r="J126" s="66"/>
      <c r="K126" s="66"/>
      <c r="L126" s="66"/>
      <c r="M126" s="66"/>
      <c r="N126" s="66"/>
      <c r="O126" s="66"/>
      <c r="P126" s="66"/>
      <c r="Q126" s="66">
        <v>2500</v>
      </c>
      <c r="R126" s="25"/>
      <c r="S126" s="36"/>
      <c r="T126" s="53">
        <f t="shared" si="10"/>
        <v>77615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>
        <v>785</v>
      </c>
      <c r="C127" s="25" t="s">
        <v>582</v>
      </c>
      <c r="D127" s="25" t="s">
        <v>295</v>
      </c>
      <c r="E127" s="53">
        <v>2770</v>
      </c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/>
      <c r="Q127" s="66"/>
      <c r="R127" s="25">
        <v>2770</v>
      </c>
      <c r="S127" s="36"/>
      <c r="T127" s="53">
        <f t="shared" si="10"/>
        <v>74845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>
        <v>786</v>
      </c>
      <c r="C128" s="25" t="s">
        <v>57</v>
      </c>
      <c r="D128" s="25" t="s">
        <v>587</v>
      </c>
      <c r="E128" s="53">
        <v>400</v>
      </c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>
        <v>400</v>
      </c>
      <c r="Q128" s="66"/>
      <c r="R128" s="25"/>
      <c r="S128" s="36"/>
      <c r="T128" s="53">
        <f t="shared" si="10"/>
        <v>74445</v>
      </c>
      <c r="U128" s="42"/>
      <c r="V128" s="42"/>
      <c r="W128" s="42"/>
      <c r="X128" s="42"/>
      <c r="Y128" s="42"/>
    </row>
    <row r="129" ht="15.75" customHeight="1" spans="1:25" x14ac:dyDescent="0.25">
      <c r="A129" s="25" t="s">
        <v>834</v>
      </c>
      <c r="B129" s="35">
        <v>787</v>
      </c>
      <c r="C129" s="25" t="s">
        <v>835</v>
      </c>
      <c r="D129" s="25" t="s">
        <v>54</v>
      </c>
      <c r="E129" s="53">
        <v>2850</v>
      </c>
      <c r="F129" s="50"/>
      <c r="G129" s="35">
        <v>19</v>
      </c>
      <c r="H129" s="35">
        <v>150</v>
      </c>
      <c r="I129" s="53">
        <v>2850</v>
      </c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10"/>
        <v>71595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>
        <v>788</v>
      </c>
      <c r="C130" s="25" t="s">
        <v>807</v>
      </c>
      <c r="D130" s="25" t="s">
        <v>54</v>
      </c>
      <c r="E130" s="53">
        <v>4300</v>
      </c>
      <c r="F130" s="50"/>
      <c r="G130" s="35">
        <v>43</v>
      </c>
      <c r="H130" s="35">
        <v>100</v>
      </c>
      <c r="I130" s="53">
        <v>4300</v>
      </c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 t="shared" si="10"/>
        <v>67295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>
        <v>789</v>
      </c>
      <c r="C131" s="25" t="s">
        <v>836</v>
      </c>
      <c r="D131" s="25" t="s">
        <v>279</v>
      </c>
      <c r="E131" s="53">
        <v>900</v>
      </c>
      <c r="F131" s="50"/>
      <c r="G131" s="35"/>
      <c r="H131" s="35"/>
      <c r="I131" s="53"/>
      <c r="J131" s="66"/>
      <c r="K131" s="66"/>
      <c r="L131" s="66"/>
      <c r="M131" s="66"/>
      <c r="N131" s="66"/>
      <c r="O131" s="66"/>
      <c r="P131" s="67"/>
      <c r="Q131" s="66"/>
      <c r="R131" s="25">
        <v>900</v>
      </c>
      <c r="S131" s="36"/>
      <c r="T131" s="53">
        <f t="shared" si="10"/>
        <v>66395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>
        <v>790</v>
      </c>
      <c r="C132" s="25" t="s">
        <v>837</v>
      </c>
      <c r="D132" s="25" t="s">
        <v>453</v>
      </c>
      <c r="E132" s="53">
        <v>1520</v>
      </c>
      <c r="F132" s="50"/>
      <c r="G132" s="35">
        <v>19</v>
      </c>
      <c r="H132" s="35">
        <v>80</v>
      </c>
      <c r="I132" s="53">
        <v>1520</v>
      </c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10"/>
        <v>64875</v>
      </c>
      <c r="U132" s="42"/>
      <c r="V132" s="42"/>
      <c r="W132" s="42"/>
      <c r="X132" s="42"/>
      <c r="Y132" s="42"/>
    </row>
    <row r="133" ht="15.75" customHeight="1" spans="1:25" x14ac:dyDescent="0.25">
      <c r="A133" s="25" t="s">
        <v>838</v>
      </c>
      <c r="B133" s="35">
        <v>791</v>
      </c>
      <c r="C133" s="25" t="s">
        <v>504</v>
      </c>
      <c r="D133" s="25" t="s">
        <v>279</v>
      </c>
      <c r="E133" s="53">
        <v>200</v>
      </c>
      <c r="F133" s="50"/>
      <c r="G133" s="35"/>
      <c r="H133" s="25"/>
      <c r="I133" s="65"/>
      <c r="J133" s="66"/>
      <c r="K133" s="66"/>
      <c r="L133" s="66"/>
      <c r="M133" s="67"/>
      <c r="N133" s="66"/>
      <c r="O133" s="66">
        <v>200</v>
      </c>
      <c r="P133" s="66"/>
      <c r="Q133" s="66"/>
      <c r="R133" s="25"/>
      <c r="S133" s="36"/>
      <c r="T133" s="53">
        <f t="shared" si="10"/>
        <v>64675</v>
      </c>
      <c r="U133" s="42"/>
      <c r="V133" s="42"/>
      <c r="W133" s="42"/>
      <c r="X133" s="42"/>
      <c r="Y133" s="42"/>
    </row>
    <row r="134" ht="15.75" customHeight="1" spans="1:25" x14ac:dyDescent="0.25">
      <c r="A134" s="26"/>
      <c r="B134" s="29"/>
      <c r="C134" s="26"/>
      <c r="D134" s="26"/>
      <c r="E134" s="56"/>
      <c r="F134" s="57"/>
      <c r="G134" s="29"/>
      <c r="H134" s="25"/>
      <c r="I134" s="65"/>
      <c r="J134" s="66"/>
      <c r="K134" s="67"/>
      <c r="L134" s="66"/>
      <c r="M134" s="66"/>
      <c r="N134" s="66"/>
      <c r="O134" s="66"/>
      <c r="P134" s="66"/>
      <c r="Q134" s="66"/>
      <c r="R134" s="25"/>
      <c r="S134" s="36"/>
      <c r="T134" s="53">
        <f t="shared" si="10"/>
        <v>64675</v>
      </c>
      <c r="U134" s="42"/>
      <c r="V134" s="42"/>
      <c r="W134" s="42"/>
      <c r="X134" s="42"/>
      <c r="Y134" s="42"/>
    </row>
    <row r="135" ht="15.75" customHeight="1" spans="1:25" x14ac:dyDescent="0.25">
      <c r="A135" s="26"/>
      <c r="B135" s="29"/>
      <c r="C135" s="26"/>
      <c r="D135" s="26"/>
      <c r="E135" s="56"/>
      <c r="F135" s="57"/>
      <c r="G135" s="26"/>
      <c r="H135" s="25"/>
      <c r="I135" s="65"/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si="10"/>
        <v>64675</v>
      </c>
      <c r="U135" s="42"/>
      <c r="V135" s="42"/>
      <c r="W135" s="42"/>
      <c r="X135" s="42"/>
      <c r="Y135" s="42"/>
    </row>
    <row r="136" ht="15.75" customHeight="1" spans="1:25" x14ac:dyDescent="0.25">
      <c r="A136" s="26"/>
      <c r="B136" s="29"/>
      <c r="C136" s="26"/>
      <c r="D136" s="26"/>
      <c r="E136" s="56"/>
      <c r="F136" s="57"/>
      <c r="G136" s="26"/>
      <c r="H136" s="25"/>
      <c r="I136" s="65"/>
      <c r="J136" s="66"/>
      <c r="K136" s="66"/>
      <c r="L136" s="66"/>
      <c r="M136" s="66"/>
      <c r="N136" s="66"/>
      <c r="O136" s="66"/>
      <c r="P136" s="66"/>
      <c r="Q136" s="66"/>
      <c r="R136" s="35"/>
      <c r="S136" s="36"/>
      <c r="T136" s="53">
        <f t="shared" si="10"/>
        <v>64675</v>
      </c>
      <c r="U136" s="42"/>
      <c r="V136" s="42"/>
      <c r="W136" s="42"/>
      <c r="X136" s="42"/>
      <c r="Y136" s="42"/>
    </row>
    <row r="137" ht="15.75" customHeight="1" spans="1:25" x14ac:dyDescent="0.25">
      <c r="A137" s="26"/>
      <c r="B137" s="29"/>
      <c r="C137" s="26"/>
      <c r="D137" s="26"/>
      <c r="E137" s="56"/>
      <c r="F137" s="57"/>
      <c r="G137" s="29"/>
      <c r="H137" s="25"/>
      <c r="I137" s="65"/>
      <c r="J137" s="66"/>
      <c r="K137" s="66"/>
      <c r="L137" s="66"/>
      <c r="M137" s="66"/>
      <c r="N137" s="66"/>
      <c r="O137" s="66"/>
      <c r="P137" s="66"/>
      <c r="Q137" s="66"/>
      <c r="R137" s="25"/>
      <c r="S137" s="36"/>
      <c r="T137" s="53">
        <f t="shared" si="10"/>
        <v>64675</v>
      </c>
      <c r="U137" s="42"/>
      <c r="V137" s="42"/>
      <c r="W137" s="42"/>
      <c r="X137" s="42"/>
      <c r="Y137" s="42"/>
    </row>
    <row r="138" ht="15.75" customHeight="1" spans="1:25" x14ac:dyDescent="0.25">
      <c r="A138" s="26"/>
      <c r="B138" s="29"/>
      <c r="C138" s="26"/>
      <c r="D138" s="26"/>
      <c r="E138" s="56"/>
      <c r="F138" s="57"/>
      <c r="G138" s="29"/>
      <c r="H138" s="25"/>
      <c r="I138" s="65"/>
      <c r="J138" s="66"/>
      <c r="K138" s="66"/>
      <c r="L138" s="66"/>
      <c r="M138" s="66"/>
      <c r="N138" s="66"/>
      <c r="O138" s="66"/>
      <c r="P138" s="66"/>
      <c r="Q138" s="66"/>
      <c r="R138" s="25"/>
      <c r="S138" s="36"/>
      <c r="T138" s="53">
        <f t="shared" si="10"/>
        <v>64675</v>
      </c>
      <c r="U138" s="42"/>
      <c r="V138" s="42"/>
      <c r="W138" s="42"/>
      <c r="X138" s="42"/>
      <c r="Y138" s="42"/>
    </row>
    <row r="139" ht="15.75" customHeight="1" spans="1:25" x14ac:dyDescent="0.25">
      <c r="A139" s="26"/>
      <c r="B139" s="29"/>
      <c r="C139" s="26"/>
      <c r="D139" s="26"/>
      <c r="E139" s="56"/>
      <c r="F139" s="57"/>
      <c r="G139" s="29"/>
      <c r="H139" s="25"/>
      <c r="I139" s="65"/>
      <c r="J139" s="66"/>
      <c r="K139" s="66"/>
      <c r="L139" s="66"/>
      <c r="M139" s="66"/>
      <c r="N139" s="66"/>
      <c r="O139" s="66"/>
      <c r="P139" s="67"/>
      <c r="Q139" s="66"/>
      <c r="R139" s="25"/>
      <c r="S139" s="36"/>
      <c r="T139" s="53">
        <f t="shared" si="10"/>
        <v>64675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/>
      <c r="C140" s="25"/>
      <c r="D140" s="25"/>
      <c r="E140" s="53"/>
      <c r="F140" s="50"/>
      <c r="G140" s="35"/>
      <c r="H140" s="35"/>
      <c r="I140" s="53"/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10"/>
        <v>64675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/>
      <c r="C141" s="25"/>
      <c r="D141" s="25"/>
      <c r="E141" s="53"/>
      <c r="F141" s="50"/>
      <c r="G141" s="35"/>
      <c r="H141" s="25"/>
      <c r="I141" s="65"/>
      <c r="J141" s="66"/>
      <c r="K141" s="66"/>
      <c r="L141" s="66"/>
      <c r="M141" s="67"/>
      <c r="N141" s="66"/>
      <c r="O141" s="66"/>
      <c r="P141" s="66"/>
      <c r="Q141" s="66"/>
      <c r="R141" s="25"/>
      <c r="S141" s="36"/>
      <c r="T141" s="53">
        <f t="shared" si="10"/>
        <v>64675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/>
      <c r="C142" s="25"/>
      <c r="D142" s="25"/>
      <c r="E142" s="53"/>
      <c r="F142" s="50"/>
      <c r="G142" s="35"/>
      <c r="H142" s="25"/>
      <c r="I142" s="65"/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10"/>
        <v>64675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/>
      <c r="C143" s="25"/>
      <c r="D143" s="25"/>
      <c r="E143" s="53"/>
      <c r="F143" s="50"/>
      <c r="G143" s="25"/>
      <c r="H143" s="25"/>
      <c r="I143" s="65"/>
      <c r="J143" s="66"/>
      <c r="K143" s="66"/>
      <c r="L143" s="66"/>
      <c r="M143" s="66"/>
      <c r="N143" s="66"/>
      <c r="O143" s="66"/>
      <c r="P143" s="66"/>
      <c r="Q143" s="67"/>
      <c r="R143" s="25"/>
      <c r="S143" s="36"/>
      <c r="T143" s="53">
        <f t="shared" si="10"/>
        <v>64675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/>
      <c r="C144" s="25"/>
      <c r="D144" s="25"/>
      <c r="E144" s="53"/>
      <c r="F144" s="68"/>
      <c r="G144" s="35"/>
      <c r="H144" s="35"/>
      <c r="I144" s="53"/>
      <c r="J144" s="66"/>
      <c r="K144" s="66"/>
      <c r="L144" s="66"/>
      <c r="M144" s="66"/>
      <c r="N144" s="66"/>
      <c r="O144" s="66"/>
      <c r="P144" s="66"/>
      <c r="Q144" s="66"/>
      <c r="R144" s="25"/>
      <c r="S144" s="36"/>
      <c r="T144" s="53">
        <f t="shared" si="10"/>
        <v>64675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/>
      <c r="C145" s="25"/>
      <c r="D145" s="25"/>
      <c r="E145" s="53"/>
      <c r="F145" s="50"/>
      <c r="G145" s="35"/>
      <c r="H145" s="35"/>
      <c r="I145" s="53"/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10"/>
        <v>64675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2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10"/>
        <v>64675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/>
      <c r="C147" s="25"/>
      <c r="D147" s="25"/>
      <c r="E147" s="53"/>
      <c r="F147" s="50"/>
      <c r="G147" s="25"/>
      <c r="H147" s="25"/>
      <c r="I147" s="65"/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10"/>
        <v>64675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/>
      <c r="D148" s="25"/>
      <c r="E148" s="53"/>
      <c r="F148" s="50"/>
      <c r="G148" s="3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>
        <f t="shared" si="10"/>
        <v>64675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35"/>
      <c r="H149" s="35"/>
      <c r="I149" s="53"/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si="10"/>
        <v>64675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68"/>
      <c r="G150" s="25"/>
      <c r="H150" s="25"/>
      <c r="I150" s="65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10"/>
        <v>64675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50"/>
      <c r="G151" s="3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 t="shared" si="10"/>
        <v>64675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10"/>
        <v>64675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10"/>
        <v>64675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10"/>
        <v>64675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10"/>
        <v>64675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7"/>
      <c r="K156" s="67"/>
      <c r="L156" s="67"/>
      <c r="M156" s="67"/>
      <c r="N156" s="67"/>
      <c r="O156" s="67"/>
      <c r="P156" s="67"/>
      <c r="Q156" s="67"/>
      <c r="R156" s="53"/>
      <c r="S156" s="36"/>
      <c r="T156" s="53">
        <f t="shared" si="10"/>
        <v>64675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25"/>
      <c r="H157" s="26"/>
      <c r="I157" s="70"/>
      <c r="J157" s="71"/>
      <c r="K157" s="71"/>
      <c r="L157" s="71"/>
      <c r="M157" s="71"/>
      <c r="N157" s="71"/>
      <c r="O157" s="71"/>
      <c r="P157" s="71"/>
      <c r="Q157" s="71"/>
      <c r="R157" s="26"/>
      <c r="S157" s="37"/>
      <c r="T157" s="56">
        <f t="shared" si="10"/>
        <v>64675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3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6">
        <f t="shared" si="10"/>
        <v>64675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6">
        <f t="shared" si="10"/>
        <v>64675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6">
        <f t="shared" si="10"/>
        <v>64675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3"/>
      <c r="D161" s="25"/>
      <c r="E161" s="53"/>
      <c r="F161" s="50"/>
      <c r="G161" s="2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6">
        <f t="shared" si="10"/>
        <v>64675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10"/>
        <v>64675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3"/>
      <c r="E163" s="54"/>
      <c r="F163" s="50"/>
      <c r="G163" s="3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10"/>
        <v>64675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10"/>
        <v>64675</v>
      </c>
      <c r="U164" s="42"/>
      <c r="V164" s="42"/>
      <c r="W164" s="42"/>
      <c r="X164" s="42"/>
      <c r="Y164" s="42"/>
    </row>
    <row r="165" ht="15.75" customHeight="1" spans="1:25" x14ac:dyDescent="0.25">
      <c r="A165" s="40"/>
      <c r="B165" s="35"/>
      <c r="C165" s="72"/>
      <c r="D165" s="40"/>
      <c r="E165" s="53"/>
      <c r="F165" s="50"/>
      <c r="G165" s="25"/>
      <c r="H165" s="25"/>
      <c r="I165" s="53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10"/>
        <v>64675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10"/>
        <v>64675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3"/>
      <c r="D167" s="72"/>
      <c r="E167" s="54"/>
      <c r="F167" s="50"/>
      <c r="G167" s="35"/>
      <c r="H167" s="3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10"/>
        <v>64675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2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10"/>
        <v>64675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40"/>
      <c r="E169" s="53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10"/>
        <v>64675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10"/>
        <v>64675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40"/>
      <c r="D171" s="72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10"/>
        <v>64675</v>
      </c>
      <c r="U171" s="42"/>
      <c r="V171" s="42"/>
      <c r="W171" s="42"/>
      <c r="X171" s="42"/>
      <c r="Y171" s="42"/>
    </row>
    <row r="172" ht="15.75" customHeight="1" spans="1:25" x14ac:dyDescent="0.25">
      <c r="A172" s="40"/>
      <c r="B172" s="35"/>
      <c r="C172" s="40"/>
      <c r="D172" s="40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10"/>
        <v>64675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40"/>
      <c r="D173" s="72"/>
      <c r="E173" s="54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10"/>
        <v>64675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3"/>
      <c r="D174" s="23"/>
      <c r="E174" s="54"/>
      <c r="F174" s="50"/>
      <c r="G174" s="26"/>
      <c r="H174" s="26"/>
      <c r="I174" s="70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10"/>
        <v>64675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5"/>
      <c r="E175" s="53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10"/>
        <v>64675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10"/>
        <v>64675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68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>T176-E177+16000</f>
        <v>80675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7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 t="shared" ref="T178:T179" si="11">T177-E178</f>
        <v>80675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si="11"/>
        <v>80675</v>
      </c>
      <c r="U179" s="42"/>
      <c r="V179" s="42"/>
      <c r="W179" s="42"/>
      <c r="X179" s="42"/>
      <c r="Y179" s="42"/>
    </row>
    <row r="180" ht="15.75" customHeight="1" spans="1:25" x14ac:dyDescent="0.25">
      <c r="A180" s="40"/>
      <c r="B180" s="25"/>
      <c r="C180" s="40"/>
      <c r="D180" s="25"/>
      <c r="E180" s="53"/>
      <c r="F180" s="68"/>
      <c r="G180" s="35"/>
      <c r="H180" s="35"/>
      <c r="I180" s="53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>T179-E180+120000</f>
        <v>200675</v>
      </c>
      <c r="U180" s="42"/>
      <c r="V180" s="42"/>
      <c r="W180" s="42"/>
      <c r="X180" s="42"/>
      <c r="Y180" s="42"/>
    </row>
    <row r="181" ht="15.75" customHeight="1" spans="1:25" x14ac:dyDescent="0.25">
      <c r="A181" s="26"/>
      <c r="B181" s="29"/>
      <c r="C181" s="38"/>
      <c r="D181" s="38"/>
      <c r="E181" s="56"/>
      <c r="F181" s="57"/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 t="shared" ref="T181:T213" si="12">T180-E181</f>
        <v>200675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si="12"/>
        <v>200675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56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12"/>
        <v>200675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70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12"/>
        <v>200675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56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12"/>
        <v>200675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12"/>
        <v>200675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12"/>
        <v>200675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9"/>
      <c r="H188" s="29"/>
      <c r="I188" s="56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12"/>
        <v>200675</v>
      </c>
      <c r="U188" s="42"/>
      <c r="V188" s="42"/>
      <c r="W188" s="42"/>
      <c r="X188" s="42"/>
      <c r="Y188" s="42"/>
    </row>
    <row r="189" ht="15.75" customHeight="1" spans="1:25" x14ac:dyDescent="0.25">
      <c r="A189" s="40"/>
      <c r="B189" s="35"/>
      <c r="C189" s="40"/>
      <c r="D189" s="40"/>
      <c r="E189" s="53"/>
      <c r="F189" s="50"/>
      <c r="G189" s="25"/>
      <c r="H189" s="25"/>
      <c r="I189" s="65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12"/>
        <v>200675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53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12"/>
        <v>200675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12"/>
        <v>200675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12"/>
        <v>200675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12"/>
        <v>200675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12"/>
        <v>200675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12"/>
        <v>200675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12"/>
        <v>200675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12"/>
        <v>200675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12"/>
        <v>200675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12"/>
        <v>200675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12"/>
        <v>200675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12"/>
        <v>200675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12"/>
        <v>200675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12"/>
        <v>200675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12"/>
        <v>200675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12"/>
        <v>200675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12"/>
        <v>200675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12"/>
        <v>200675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12"/>
        <v>200675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12"/>
        <v>200675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12"/>
        <v>200675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12"/>
        <v>200675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12"/>
        <v>200675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12"/>
        <v>200675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>T213-E214+75000</f>
        <v>275675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ref="T215:T226" si="13">T214-E215</f>
        <v>275675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13"/>
        <v>275675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13"/>
        <v>275675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13"/>
        <v>275675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13"/>
        <v>275675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13"/>
        <v>275675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13"/>
        <v>275675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13"/>
        <v>275675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13"/>
        <v>275675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13"/>
        <v>275675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13"/>
        <v>275675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13"/>
        <v>275675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386675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14">T227-E228</f>
        <v>386675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14"/>
        <v>386675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14"/>
        <v>386675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14"/>
        <v>386675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14"/>
        <v>386675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14"/>
        <v>386675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14"/>
        <v>386675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14"/>
        <v>386675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14"/>
        <v>386675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14"/>
        <v>386675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14"/>
        <v>386675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14"/>
        <v>386675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14"/>
        <v>386675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14"/>
        <v>386675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14"/>
        <v>386675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14"/>
        <v>386675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14"/>
        <v>386675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14"/>
        <v>386675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14"/>
        <v>386675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14"/>
        <v>386675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14"/>
        <v>386675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14"/>
        <v>386675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14"/>
        <v>386675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14"/>
        <v>386675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14"/>
        <v>386675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14"/>
        <v>386675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14"/>
        <v>386675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14"/>
        <v>386675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14"/>
        <v>386675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14"/>
        <v>386675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431675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15">T258-E259</f>
        <v>431675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15"/>
        <v>431675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15"/>
        <v>431675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4.4414062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5" max="15" width="10.21875" customWidth="1"/>
    <col min="17" max="17" width="10.44140625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839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64675</v>
      </c>
      <c r="U3" s="42"/>
      <c r="V3" s="42"/>
      <c r="W3" s="42"/>
      <c r="X3" s="42"/>
      <c r="Y3" s="42"/>
    </row>
    <row r="4" ht="15.75" customHeight="1" spans="1:25" x14ac:dyDescent="0.25">
      <c r="A4" s="25" t="s">
        <v>840</v>
      </c>
      <c r="B4" s="35">
        <v>792</v>
      </c>
      <c r="C4" s="25" t="s">
        <v>841</v>
      </c>
      <c r="D4" s="25" t="s">
        <v>406</v>
      </c>
      <c r="E4" s="53">
        <v>4560</v>
      </c>
      <c r="F4" s="50"/>
      <c r="G4" s="35"/>
      <c r="H4" s="35"/>
      <c r="I4" s="53">
        <v>4560</v>
      </c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 t="shared" ref="T4:T33" si="0">T3-E4</f>
        <v>60115</v>
      </c>
      <c r="U4" s="42"/>
      <c r="V4" s="42"/>
      <c r="W4" s="42"/>
      <c r="X4" s="42"/>
      <c r="Y4" s="42"/>
    </row>
    <row r="5" ht="15.75" customHeight="1" spans="1:25" x14ac:dyDescent="0.25">
      <c r="A5" s="25" t="s">
        <v>842</v>
      </c>
      <c r="B5" s="35">
        <v>793</v>
      </c>
      <c r="C5" s="25" t="s">
        <v>843</v>
      </c>
      <c r="D5" s="25" t="s">
        <v>844</v>
      </c>
      <c r="E5" s="53">
        <v>3000</v>
      </c>
      <c r="F5" s="50"/>
      <c r="G5" s="35"/>
      <c r="H5" s="35"/>
      <c r="I5" s="53"/>
      <c r="J5" s="66"/>
      <c r="K5" s="66">
        <v>3000</v>
      </c>
      <c r="L5" s="66"/>
      <c r="M5" s="66"/>
      <c r="N5" s="66"/>
      <c r="O5" s="66"/>
      <c r="P5" s="66"/>
      <c r="Q5" s="66"/>
      <c r="R5" s="25"/>
      <c r="S5" s="36"/>
      <c r="T5" s="53">
        <f t="shared" si="0"/>
        <v>57115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794</v>
      </c>
      <c r="C6" s="25" t="s">
        <v>845</v>
      </c>
      <c r="D6" s="25" t="s">
        <v>846</v>
      </c>
      <c r="E6" s="53">
        <v>1000</v>
      </c>
      <c r="F6" s="50"/>
      <c r="G6" s="35"/>
      <c r="H6" s="35"/>
      <c r="I6" s="53"/>
      <c r="J6" s="66"/>
      <c r="K6" s="66">
        <v>1000</v>
      </c>
      <c r="L6" s="66"/>
      <c r="M6" s="66"/>
      <c r="N6" s="66"/>
      <c r="O6" s="66"/>
      <c r="P6" s="66"/>
      <c r="Q6" s="66"/>
      <c r="R6" s="25"/>
      <c r="S6" s="36"/>
      <c r="T6" s="53">
        <f t="shared" si="0"/>
        <v>56115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795</v>
      </c>
      <c r="C7" s="25" t="s">
        <v>847</v>
      </c>
      <c r="D7" s="25" t="s">
        <v>848</v>
      </c>
      <c r="E7" s="53">
        <v>425</v>
      </c>
      <c r="F7" s="50"/>
      <c r="G7" s="25"/>
      <c r="H7" s="25"/>
      <c r="I7" s="53"/>
      <c r="J7" s="66"/>
      <c r="K7" s="66">
        <v>425</v>
      </c>
      <c r="L7" s="66"/>
      <c r="M7" s="67"/>
      <c r="N7" s="66"/>
      <c r="O7" s="66"/>
      <c r="P7" s="66"/>
      <c r="Q7" s="66"/>
      <c r="R7" s="25"/>
      <c r="S7" s="36"/>
      <c r="T7" s="53">
        <f t="shared" si="0"/>
        <v>55690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796</v>
      </c>
      <c r="C8" s="25" t="s">
        <v>849</v>
      </c>
      <c r="D8" s="25" t="s">
        <v>850</v>
      </c>
      <c r="E8" s="53">
        <v>1000</v>
      </c>
      <c r="F8" s="50"/>
      <c r="G8" s="25"/>
      <c r="H8" s="25"/>
      <c r="I8" s="53"/>
      <c r="J8" s="66"/>
      <c r="K8" s="66">
        <v>1000</v>
      </c>
      <c r="L8" s="66"/>
      <c r="M8" s="66"/>
      <c r="N8" s="66"/>
      <c r="O8" s="66"/>
      <c r="P8" s="67"/>
      <c r="Q8" s="66"/>
      <c r="R8" s="25"/>
      <c r="S8" s="36"/>
      <c r="T8" s="53">
        <f t="shared" si="0"/>
        <v>54690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797</v>
      </c>
      <c r="C9" s="25" t="s">
        <v>851</v>
      </c>
      <c r="D9" s="25" t="s">
        <v>852</v>
      </c>
      <c r="E9" s="53">
        <v>270</v>
      </c>
      <c r="F9" s="50"/>
      <c r="G9" s="35"/>
      <c r="H9" s="35"/>
      <c r="I9" s="53"/>
      <c r="J9" s="66"/>
      <c r="K9" s="66">
        <v>270</v>
      </c>
      <c r="L9" s="66"/>
      <c r="M9" s="66"/>
      <c r="N9" s="66"/>
      <c r="O9" s="66"/>
      <c r="P9" s="66"/>
      <c r="Q9" s="66"/>
      <c r="R9" s="25"/>
      <c r="S9" s="36"/>
      <c r="T9" s="53">
        <f t="shared" si="0"/>
        <v>54420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798</v>
      </c>
      <c r="C10" s="25" t="s">
        <v>853</v>
      </c>
      <c r="D10" s="25" t="s">
        <v>854</v>
      </c>
      <c r="E10" s="53">
        <v>403</v>
      </c>
      <c r="F10" s="50"/>
      <c r="G10" s="35"/>
      <c r="H10" s="35"/>
      <c r="I10" s="53"/>
      <c r="J10" s="66"/>
      <c r="K10" s="66">
        <v>403</v>
      </c>
      <c r="L10" s="66"/>
      <c r="M10" s="66"/>
      <c r="N10" s="66"/>
      <c r="O10" s="66"/>
      <c r="P10" s="66"/>
      <c r="Q10" s="66"/>
      <c r="R10" s="25"/>
      <c r="S10" s="36"/>
      <c r="T10" s="53">
        <f t="shared" si="0"/>
        <v>54017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799</v>
      </c>
      <c r="C11" s="25" t="s">
        <v>510</v>
      </c>
      <c r="D11" s="25" t="s">
        <v>279</v>
      </c>
      <c r="E11" s="53">
        <v>40</v>
      </c>
      <c r="F11" s="50"/>
      <c r="G11" s="35"/>
      <c r="H11" s="25"/>
      <c r="I11" s="53"/>
      <c r="J11" s="66"/>
      <c r="K11" s="66"/>
      <c r="L11" s="67"/>
      <c r="M11" s="66"/>
      <c r="N11" s="66"/>
      <c r="O11" s="66">
        <v>40</v>
      </c>
      <c r="P11" s="66"/>
      <c r="Q11" s="66"/>
      <c r="R11" s="25"/>
      <c r="S11" s="36"/>
      <c r="T11" s="53">
        <f t="shared" si="0"/>
        <v>53977</v>
      </c>
      <c r="U11" s="42"/>
      <c r="V11" s="42"/>
      <c r="W11" s="42"/>
      <c r="X11" s="42"/>
      <c r="Y11" s="42"/>
    </row>
    <row r="12" ht="15.75" customHeight="1" spans="1:25" x14ac:dyDescent="0.25">
      <c r="A12" s="25" t="s">
        <v>855</v>
      </c>
      <c r="B12" s="35">
        <v>800</v>
      </c>
      <c r="C12" s="25" t="s">
        <v>510</v>
      </c>
      <c r="D12" s="25" t="s">
        <v>279</v>
      </c>
      <c r="E12" s="53">
        <v>40</v>
      </c>
      <c r="F12" s="50"/>
      <c r="G12" s="35"/>
      <c r="H12" s="25"/>
      <c r="I12" s="53"/>
      <c r="J12" s="66"/>
      <c r="K12" s="66"/>
      <c r="L12" s="66"/>
      <c r="M12" s="66"/>
      <c r="N12" s="66"/>
      <c r="O12" s="66">
        <v>40</v>
      </c>
      <c r="P12" s="66"/>
      <c r="Q12" s="66"/>
      <c r="R12" s="25"/>
      <c r="S12" s="36"/>
      <c r="T12" s="53">
        <f t="shared" si="0"/>
        <v>53937</v>
      </c>
      <c r="U12" s="42"/>
      <c r="V12" s="42"/>
      <c r="W12" s="42"/>
      <c r="X12" s="42"/>
      <c r="Y12" s="42"/>
    </row>
    <row r="13" ht="15.75" customHeight="1" spans="1:25" x14ac:dyDescent="0.25">
      <c r="A13" s="25"/>
      <c r="B13" s="35">
        <v>801</v>
      </c>
      <c r="C13" s="25" t="s">
        <v>856</v>
      </c>
      <c r="D13" s="25" t="s">
        <v>119</v>
      </c>
      <c r="E13" s="53">
        <v>900</v>
      </c>
      <c r="F13" s="50"/>
      <c r="G13" s="35"/>
      <c r="H13" s="25"/>
      <c r="I13" s="53"/>
      <c r="J13" s="66"/>
      <c r="K13" s="66"/>
      <c r="L13" s="66"/>
      <c r="M13" s="66">
        <v>900</v>
      </c>
      <c r="N13" s="66"/>
      <c r="O13" s="66"/>
      <c r="P13" s="66"/>
      <c r="Q13" s="66"/>
      <c r="R13" s="25"/>
      <c r="S13" s="36"/>
      <c r="T13" s="53">
        <f t="shared" si="0"/>
        <v>53037</v>
      </c>
      <c r="U13" s="42"/>
      <c r="V13" s="42"/>
      <c r="W13" s="42"/>
      <c r="X13" s="42"/>
      <c r="Y13" s="42"/>
    </row>
    <row r="14" ht="15.75" customHeight="1" spans="1:25" x14ac:dyDescent="0.25">
      <c r="A14" s="25" t="s">
        <v>857</v>
      </c>
      <c r="B14" s="35">
        <v>802</v>
      </c>
      <c r="C14" s="25" t="s">
        <v>858</v>
      </c>
      <c r="D14" s="25" t="s">
        <v>279</v>
      </c>
      <c r="E14" s="53">
        <v>525</v>
      </c>
      <c r="F14" s="50"/>
      <c r="G14" s="35"/>
      <c r="H14" s="35"/>
      <c r="I14" s="53"/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0"/>
        <v>52512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803</v>
      </c>
      <c r="C15" s="25" t="s">
        <v>859</v>
      </c>
      <c r="D15" s="25" t="s">
        <v>618</v>
      </c>
      <c r="E15" s="53">
        <v>2550</v>
      </c>
      <c r="F15" s="50"/>
      <c r="G15" s="35">
        <v>17</v>
      </c>
      <c r="H15" s="35">
        <v>150</v>
      </c>
      <c r="I15" s="53">
        <v>2550</v>
      </c>
      <c r="J15" s="66"/>
      <c r="K15" s="66"/>
      <c r="L15" s="66"/>
      <c r="M15" s="66"/>
      <c r="N15" s="66"/>
      <c r="O15" s="66"/>
      <c r="P15" s="66"/>
      <c r="Q15" s="67"/>
      <c r="R15" s="25"/>
      <c r="S15" s="36"/>
      <c r="T15" s="53">
        <f t="shared" si="0"/>
        <v>49962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804</v>
      </c>
      <c r="C16" s="25" t="s">
        <v>94</v>
      </c>
      <c r="D16" s="25" t="s">
        <v>420</v>
      </c>
      <c r="E16" s="53">
        <v>960</v>
      </c>
      <c r="F16" s="50"/>
      <c r="G16" s="35">
        <v>8</v>
      </c>
      <c r="H16" s="35">
        <v>120</v>
      </c>
      <c r="I16" s="53">
        <v>960</v>
      </c>
      <c r="J16" s="66"/>
      <c r="K16" s="66"/>
      <c r="L16" s="66"/>
      <c r="M16" s="66"/>
      <c r="N16" s="66"/>
      <c r="O16" s="66"/>
      <c r="P16" s="67"/>
      <c r="Q16" s="66"/>
      <c r="R16" s="25"/>
      <c r="S16" s="36"/>
      <c r="T16" s="53">
        <f t="shared" si="0"/>
        <v>49002</v>
      </c>
      <c r="U16" s="42"/>
      <c r="V16" s="42"/>
      <c r="W16" s="42"/>
      <c r="X16" s="42"/>
      <c r="Y16" s="42"/>
    </row>
    <row r="17" ht="15.75" customHeight="1" spans="1:25" x14ac:dyDescent="0.25">
      <c r="A17" s="25" t="s">
        <v>860</v>
      </c>
      <c r="B17" s="35">
        <v>805</v>
      </c>
      <c r="C17" s="25" t="s">
        <v>94</v>
      </c>
      <c r="D17" s="25" t="s">
        <v>861</v>
      </c>
      <c r="E17" s="53">
        <v>1920</v>
      </c>
      <c r="F17" s="50"/>
      <c r="G17" s="35">
        <v>16</v>
      </c>
      <c r="H17" s="35">
        <v>120</v>
      </c>
      <c r="I17" s="53">
        <v>1920</v>
      </c>
      <c r="J17" s="66"/>
      <c r="K17" s="66"/>
      <c r="L17" s="66"/>
      <c r="M17" s="66"/>
      <c r="N17" s="66"/>
      <c r="O17" s="66"/>
      <c r="P17" s="67"/>
      <c r="Q17" s="66"/>
      <c r="R17" s="25"/>
      <c r="S17" s="36"/>
      <c r="T17" s="53">
        <f t="shared" si="0"/>
        <v>47082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806</v>
      </c>
      <c r="C18" s="25" t="s">
        <v>94</v>
      </c>
      <c r="D18" s="25" t="s">
        <v>420</v>
      </c>
      <c r="E18" s="53">
        <v>2280</v>
      </c>
      <c r="F18" s="50"/>
      <c r="G18" s="35">
        <v>19</v>
      </c>
      <c r="H18" s="35">
        <v>120</v>
      </c>
      <c r="I18" s="53">
        <v>2280</v>
      </c>
      <c r="J18" s="66"/>
      <c r="K18" s="66"/>
      <c r="L18" s="66"/>
      <c r="M18" s="66"/>
      <c r="N18" s="66"/>
      <c r="O18" s="66"/>
      <c r="P18" s="66"/>
      <c r="Q18" s="66"/>
      <c r="R18" s="25"/>
      <c r="S18" s="36"/>
      <c r="T18" s="53">
        <f t="shared" si="0"/>
        <v>44802</v>
      </c>
      <c r="U18" s="42"/>
      <c r="V18" s="42"/>
      <c r="W18" s="42"/>
      <c r="X18" s="42"/>
      <c r="Y18" s="42"/>
    </row>
    <row r="19" ht="15.75" customHeight="1" spans="1:25" x14ac:dyDescent="0.25">
      <c r="A19" s="25" t="s">
        <v>862</v>
      </c>
      <c r="B19" s="35">
        <v>809</v>
      </c>
      <c r="C19" s="25" t="s">
        <v>863</v>
      </c>
      <c r="D19" s="25" t="s">
        <v>844</v>
      </c>
      <c r="E19" s="53">
        <v>3000</v>
      </c>
      <c r="F19" s="50"/>
      <c r="G19" s="35"/>
      <c r="H19" s="35"/>
      <c r="I19" s="53"/>
      <c r="J19" s="66"/>
      <c r="K19" s="66">
        <v>3000</v>
      </c>
      <c r="L19" s="66"/>
      <c r="M19" s="66"/>
      <c r="N19" s="66"/>
      <c r="O19" s="66"/>
      <c r="P19" s="66"/>
      <c r="Q19" s="66"/>
      <c r="R19" s="25"/>
      <c r="S19" s="36"/>
      <c r="T19" s="53">
        <f t="shared" si="0"/>
        <v>41802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810</v>
      </c>
      <c r="C20" s="25" t="s">
        <v>864</v>
      </c>
      <c r="D20" s="25" t="s">
        <v>865</v>
      </c>
      <c r="E20" s="53">
        <v>500</v>
      </c>
      <c r="F20" s="50"/>
      <c r="G20" s="35"/>
      <c r="H20" s="35"/>
      <c r="I20" s="53"/>
      <c r="J20" s="66"/>
      <c r="K20" s="67">
        <v>500</v>
      </c>
      <c r="L20" s="66"/>
      <c r="M20" s="66"/>
      <c r="N20" s="66"/>
      <c r="O20" s="66"/>
      <c r="P20" s="66"/>
      <c r="Q20" s="66"/>
      <c r="R20" s="25"/>
      <c r="S20" s="36"/>
      <c r="T20" s="53">
        <f t="shared" si="0"/>
        <v>41302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0">
        <v>811</v>
      </c>
      <c r="C21" s="25" t="s">
        <v>866</v>
      </c>
      <c r="D21" s="25" t="s">
        <v>420</v>
      </c>
      <c r="E21" s="53">
        <v>1360</v>
      </c>
      <c r="F21" s="50"/>
      <c r="G21" s="35">
        <v>34</v>
      </c>
      <c r="H21" s="35">
        <v>40</v>
      </c>
      <c r="I21" s="53">
        <v>1360</v>
      </c>
      <c r="J21" s="66"/>
      <c r="K21" s="66"/>
      <c r="L21" s="66"/>
      <c r="M21" s="66"/>
      <c r="N21" s="66"/>
      <c r="O21" s="66"/>
      <c r="P21" s="66"/>
      <c r="Q21" s="66"/>
      <c r="R21" s="25"/>
      <c r="S21" s="36"/>
      <c r="T21" s="53">
        <f t="shared" si="0"/>
        <v>39942</v>
      </c>
      <c r="U21" s="42"/>
      <c r="V21" s="42"/>
      <c r="W21" s="42"/>
      <c r="X21" s="42"/>
      <c r="Y21" s="42"/>
    </row>
    <row r="22" ht="15.75" customHeight="1" spans="1:25" x14ac:dyDescent="0.25">
      <c r="A22" s="25" t="s">
        <v>867</v>
      </c>
      <c r="B22" s="35">
        <v>812</v>
      </c>
      <c r="C22" s="25" t="s">
        <v>866</v>
      </c>
      <c r="D22" s="25" t="s">
        <v>420</v>
      </c>
      <c r="E22" s="53">
        <v>5120</v>
      </c>
      <c r="F22" s="50"/>
      <c r="G22" s="35">
        <v>128</v>
      </c>
      <c r="H22" s="35">
        <v>40</v>
      </c>
      <c r="I22" s="53">
        <v>5120</v>
      </c>
      <c r="J22" s="66"/>
      <c r="K22" s="66"/>
      <c r="L22" s="66"/>
      <c r="M22" s="66"/>
      <c r="N22" s="66"/>
      <c r="O22" s="66"/>
      <c r="P22" s="66"/>
      <c r="Q22" s="66"/>
      <c r="R22" s="25"/>
      <c r="S22" s="36"/>
      <c r="T22" s="53">
        <f t="shared" si="0"/>
        <v>34822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813</v>
      </c>
      <c r="C23" s="25" t="s">
        <v>866</v>
      </c>
      <c r="D23" s="25" t="s">
        <v>54</v>
      </c>
      <c r="E23" s="53">
        <v>5600</v>
      </c>
      <c r="F23" s="50"/>
      <c r="G23" s="35">
        <v>140</v>
      </c>
      <c r="H23" s="35">
        <v>40</v>
      </c>
      <c r="I23" s="53">
        <v>5600</v>
      </c>
      <c r="J23" s="66"/>
      <c r="K23" s="67"/>
      <c r="L23" s="66"/>
      <c r="M23" s="66"/>
      <c r="N23" s="66"/>
      <c r="O23" s="66"/>
      <c r="P23" s="66"/>
      <c r="Q23" s="66"/>
      <c r="R23" s="25"/>
      <c r="S23" s="36"/>
      <c r="T23" s="53">
        <f t="shared" si="0"/>
        <v>29222</v>
      </c>
      <c r="U23" s="42"/>
      <c r="V23" s="42"/>
      <c r="W23" s="42"/>
      <c r="X23" s="42"/>
      <c r="Y23" s="42"/>
    </row>
    <row r="24" ht="15.75" customHeight="1" spans="1:25" x14ac:dyDescent="0.25">
      <c r="A24" s="25" t="s">
        <v>868</v>
      </c>
      <c r="B24" s="35">
        <v>814</v>
      </c>
      <c r="C24" s="25" t="s">
        <v>48</v>
      </c>
      <c r="D24" s="23" t="s">
        <v>279</v>
      </c>
      <c r="E24" s="54">
        <v>560</v>
      </c>
      <c r="F24" s="50"/>
      <c r="G24" s="25"/>
      <c r="H24" s="25"/>
      <c r="I24" s="53"/>
      <c r="J24" s="66"/>
      <c r="K24" s="67"/>
      <c r="L24" s="66"/>
      <c r="M24" s="66"/>
      <c r="N24" s="66"/>
      <c r="O24" s="66">
        <v>560</v>
      </c>
      <c r="P24" s="66"/>
      <c r="Q24" s="66"/>
      <c r="R24" s="25"/>
      <c r="S24" s="36"/>
      <c r="T24" s="53">
        <f t="shared" si="0"/>
        <v>28662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815</v>
      </c>
      <c r="C25" s="25" t="s">
        <v>869</v>
      </c>
      <c r="D25" s="23" t="s">
        <v>53</v>
      </c>
      <c r="E25" s="54">
        <v>1760</v>
      </c>
      <c r="F25" s="50"/>
      <c r="G25" s="35">
        <v>22</v>
      </c>
      <c r="H25" s="35">
        <v>80</v>
      </c>
      <c r="I25" s="53">
        <v>1760</v>
      </c>
      <c r="J25" s="66"/>
      <c r="K25" s="67"/>
      <c r="L25" s="66"/>
      <c r="M25" s="66"/>
      <c r="N25" s="66"/>
      <c r="O25" s="66"/>
      <c r="P25" s="66"/>
      <c r="Q25" s="66"/>
      <c r="R25" s="25"/>
      <c r="S25" s="36"/>
      <c r="T25" s="53">
        <f t="shared" si="0"/>
        <v>26902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816</v>
      </c>
      <c r="C26" s="23" t="s">
        <v>94</v>
      </c>
      <c r="D26" s="25" t="s">
        <v>870</v>
      </c>
      <c r="E26" s="53">
        <v>1320</v>
      </c>
      <c r="F26" s="50"/>
      <c r="G26" s="35">
        <v>11</v>
      </c>
      <c r="H26" s="35">
        <v>120</v>
      </c>
      <c r="I26" s="53">
        <v>1320</v>
      </c>
      <c r="J26" s="66"/>
      <c r="K26" s="67"/>
      <c r="L26" s="66"/>
      <c r="M26" s="66"/>
      <c r="N26" s="66"/>
      <c r="O26" s="66"/>
      <c r="P26" s="66"/>
      <c r="Q26" s="66"/>
      <c r="R26" s="25"/>
      <c r="S26" s="36"/>
      <c r="T26" s="53">
        <f t="shared" si="0"/>
        <v>25582</v>
      </c>
      <c r="U26" s="42"/>
      <c r="V26" s="42"/>
      <c r="W26" s="42"/>
      <c r="X26" s="42"/>
      <c r="Y26" s="42"/>
    </row>
    <row r="27" ht="15.75" customHeight="1" spans="1:25" x14ac:dyDescent="0.25">
      <c r="A27" s="25" t="s">
        <v>871</v>
      </c>
      <c r="B27" s="35">
        <v>817</v>
      </c>
      <c r="C27" s="25" t="s">
        <v>869</v>
      </c>
      <c r="D27" s="25" t="s">
        <v>53</v>
      </c>
      <c r="E27" s="53">
        <v>1360</v>
      </c>
      <c r="F27" s="50"/>
      <c r="G27" s="35">
        <v>17</v>
      </c>
      <c r="H27" s="35">
        <v>80</v>
      </c>
      <c r="I27" s="53">
        <v>1360</v>
      </c>
      <c r="J27" s="66"/>
      <c r="K27" s="67"/>
      <c r="L27" s="66"/>
      <c r="M27" s="66"/>
      <c r="N27" s="66"/>
      <c r="O27" s="66"/>
      <c r="P27" s="66"/>
      <c r="Q27" s="66"/>
      <c r="R27" s="25"/>
      <c r="S27" s="36"/>
      <c r="T27" s="53">
        <f t="shared" si="0"/>
        <v>24222</v>
      </c>
      <c r="U27" s="42"/>
      <c r="V27" s="42"/>
      <c r="W27" s="42"/>
      <c r="X27" s="42"/>
      <c r="Y27" s="42"/>
    </row>
    <row r="28" ht="15.75" customHeight="1" spans="1:25" x14ac:dyDescent="0.25">
      <c r="A28" s="25" t="s">
        <v>872</v>
      </c>
      <c r="B28" s="35">
        <v>818</v>
      </c>
      <c r="C28" s="25" t="s">
        <v>873</v>
      </c>
      <c r="D28" s="21" t="s">
        <v>874</v>
      </c>
      <c r="E28" s="22">
        <v>21560</v>
      </c>
      <c r="F28" s="50"/>
      <c r="G28" s="35"/>
      <c r="H28" s="25"/>
      <c r="I28" s="53"/>
      <c r="J28" s="66"/>
      <c r="K28" s="67"/>
      <c r="L28" s="66"/>
      <c r="M28" s="66"/>
      <c r="N28" s="66"/>
      <c r="O28" s="66"/>
      <c r="P28" s="66"/>
      <c r="Q28" s="66">
        <v>21560</v>
      </c>
      <c r="R28" s="25"/>
      <c r="S28" s="36"/>
      <c r="T28" s="53">
        <f t="shared" si="0"/>
        <v>2662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0">
        <v>819</v>
      </c>
      <c r="C29" s="23" t="s">
        <v>94</v>
      </c>
      <c r="D29" s="23" t="s">
        <v>618</v>
      </c>
      <c r="E29" s="54">
        <v>1200</v>
      </c>
      <c r="F29" s="50"/>
      <c r="G29" s="35">
        <v>10</v>
      </c>
      <c r="H29" s="35">
        <v>120</v>
      </c>
      <c r="I29" s="53">
        <v>1200</v>
      </c>
      <c r="J29" s="66"/>
      <c r="K29" s="67"/>
      <c r="L29" s="66"/>
      <c r="M29" s="66"/>
      <c r="N29" s="66"/>
      <c r="O29" s="66"/>
      <c r="P29" s="66"/>
      <c r="Q29" s="66"/>
      <c r="R29" s="25"/>
      <c r="S29" s="36"/>
      <c r="T29" s="53">
        <f t="shared" si="0"/>
        <v>1462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0">
        <v>820</v>
      </c>
      <c r="C30" s="23" t="s">
        <v>94</v>
      </c>
      <c r="D30" s="25" t="s">
        <v>420</v>
      </c>
      <c r="E30" s="53">
        <v>720</v>
      </c>
      <c r="F30" s="50"/>
      <c r="G30" s="35">
        <v>6</v>
      </c>
      <c r="H30" s="35">
        <v>120</v>
      </c>
      <c r="I30" s="53">
        <v>720</v>
      </c>
      <c r="J30" s="66"/>
      <c r="K30" s="66"/>
      <c r="L30" s="66"/>
      <c r="M30" s="66"/>
      <c r="N30" s="66"/>
      <c r="O30" s="66"/>
      <c r="P30" s="66"/>
      <c r="Q30" s="66"/>
      <c r="R30" s="25"/>
      <c r="S30" s="36"/>
      <c r="T30" s="53">
        <f t="shared" si="0"/>
        <v>742</v>
      </c>
      <c r="U30" s="42"/>
      <c r="V30" s="42"/>
      <c r="W30" s="42"/>
      <c r="X30" s="42"/>
      <c r="Y30" s="42"/>
    </row>
    <row r="31" ht="15.75" customHeight="1" spans="1:25" x14ac:dyDescent="0.25">
      <c r="A31" s="25" t="s">
        <v>875</v>
      </c>
      <c r="B31" s="35">
        <v>821</v>
      </c>
      <c r="C31" s="23" t="s">
        <v>426</v>
      </c>
      <c r="D31" s="25" t="s">
        <v>876</v>
      </c>
      <c r="E31" s="53">
        <v>2820</v>
      </c>
      <c r="F31" s="50"/>
      <c r="G31" s="35">
        <v>47</v>
      </c>
      <c r="H31" s="35">
        <v>60</v>
      </c>
      <c r="I31" s="53">
        <v>2820</v>
      </c>
      <c r="J31" s="66"/>
      <c r="K31" s="66"/>
      <c r="L31" s="66"/>
      <c r="M31" s="66"/>
      <c r="N31" s="66"/>
      <c r="O31" s="66"/>
      <c r="P31" s="66"/>
      <c r="Q31" s="66"/>
      <c r="R31" s="25"/>
      <c r="S31" s="36"/>
      <c r="T31" s="53">
        <f t="shared" si="0"/>
        <v>-2078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822</v>
      </c>
      <c r="C32" s="25" t="s">
        <v>41</v>
      </c>
      <c r="D32" s="23" t="s">
        <v>54</v>
      </c>
      <c r="E32" s="53">
        <v>7900</v>
      </c>
      <c r="F32" s="50"/>
      <c r="G32" s="35">
        <v>79</v>
      </c>
      <c r="H32" s="35">
        <v>100</v>
      </c>
      <c r="I32" s="53">
        <v>7900</v>
      </c>
      <c r="J32" s="66"/>
      <c r="K32" s="66"/>
      <c r="L32" s="66"/>
      <c r="M32" s="66"/>
      <c r="N32" s="66"/>
      <c r="O32" s="66"/>
      <c r="P32" s="66"/>
      <c r="Q32" s="66"/>
      <c r="R32" s="25"/>
      <c r="S32" s="36"/>
      <c r="T32" s="53">
        <f t="shared" si="0"/>
        <v>-9978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823</v>
      </c>
      <c r="C33" s="25" t="s">
        <v>877</v>
      </c>
      <c r="D33" s="25" t="s">
        <v>28</v>
      </c>
      <c r="E33" s="53">
        <v>155</v>
      </c>
      <c r="F33" s="50"/>
      <c r="G33" s="25"/>
      <c r="H33" s="25"/>
      <c r="I33" s="53"/>
      <c r="J33" s="66"/>
      <c r="K33" s="66"/>
      <c r="L33" s="66"/>
      <c r="M33" s="66"/>
      <c r="N33" s="66"/>
      <c r="O33" s="66"/>
      <c r="P33" s="66">
        <v>155</v>
      </c>
      <c r="Q33" s="67"/>
      <c r="R33" s="25"/>
      <c r="S33" s="36"/>
      <c r="T33" s="53">
        <f t="shared" si="0"/>
        <v>-10133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878</v>
      </c>
      <c r="B34" s="35"/>
      <c r="C34" s="25" t="s">
        <v>879</v>
      </c>
      <c r="D34" s="25"/>
      <c r="E34" s="65"/>
      <c r="F34" s="68">
        <v>100000</v>
      </c>
      <c r="G34" s="25"/>
      <c r="H34" s="25"/>
      <c r="I34" s="53"/>
      <c r="J34" s="66"/>
      <c r="K34" s="66"/>
      <c r="L34" s="66"/>
      <c r="M34" s="66"/>
      <c r="N34" s="66"/>
      <c r="O34" s="66"/>
      <c r="P34" s="67"/>
      <c r="Q34" s="66"/>
      <c r="R34" s="25"/>
      <c r="S34" s="36"/>
      <c r="T34" s="53">
        <f>T33-E34+100000</f>
        <v>89867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824</v>
      </c>
      <c r="C35" s="25" t="s">
        <v>880</v>
      </c>
      <c r="D35" s="23" t="s">
        <v>881</v>
      </c>
      <c r="E35" s="54">
        <v>600</v>
      </c>
      <c r="F35" s="50"/>
      <c r="G35" s="25"/>
      <c r="H35" s="25"/>
      <c r="I35" s="53"/>
      <c r="J35" s="66"/>
      <c r="K35" s="66"/>
      <c r="L35" s="66"/>
      <c r="M35" s="66"/>
      <c r="N35" s="66"/>
      <c r="O35" s="66"/>
      <c r="P35" s="66"/>
      <c r="Q35" s="66"/>
      <c r="R35" s="25">
        <v>600</v>
      </c>
      <c r="S35" s="36"/>
      <c r="T35" s="53">
        <f t="shared" ref="T35:T74" si="1">T34-E35</f>
        <v>89267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825</v>
      </c>
      <c r="C36" s="25" t="s">
        <v>630</v>
      </c>
      <c r="D36" s="23" t="s">
        <v>432</v>
      </c>
      <c r="E36" s="54">
        <v>800</v>
      </c>
      <c r="F36" s="50"/>
      <c r="G36" s="35">
        <v>8</v>
      </c>
      <c r="H36" s="35">
        <v>100</v>
      </c>
      <c r="I36" s="53">
        <v>800</v>
      </c>
      <c r="J36" s="66"/>
      <c r="K36" s="66"/>
      <c r="L36" s="66"/>
      <c r="M36" s="66"/>
      <c r="N36" s="66"/>
      <c r="O36" s="66"/>
      <c r="P36" s="66"/>
      <c r="Q36" s="66"/>
      <c r="R36" s="25"/>
      <c r="S36" s="36"/>
      <c r="T36" s="53">
        <f t="shared" si="1"/>
        <v>88467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826</v>
      </c>
      <c r="C37" s="25" t="s">
        <v>630</v>
      </c>
      <c r="D37" s="79" t="s">
        <v>618</v>
      </c>
      <c r="E37" s="80">
        <v>17900</v>
      </c>
      <c r="F37" s="50"/>
      <c r="G37" s="35">
        <v>179</v>
      </c>
      <c r="H37" s="35">
        <v>100</v>
      </c>
      <c r="I37" s="53">
        <v>17900</v>
      </c>
      <c r="J37" s="66"/>
      <c r="K37" s="66"/>
      <c r="L37" s="66"/>
      <c r="M37" s="66"/>
      <c r="N37" s="66"/>
      <c r="O37" s="66"/>
      <c r="P37" s="66"/>
      <c r="Q37" s="66"/>
      <c r="R37" s="25"/>
      <c r="S37" s="36"/>
      <c r="T37" s="53">
        <f t="shared" si="1"/>
        <v>70567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827</v>
      </c>
      <c r="C38" s="25" t="s">
        <v>630</v>
      </c>
      <c r="D38" s="25" t="s">
        <v>420</v>
      </c>
      <c r="E38" s="53">
        <v>1700</v>
      </c>
      <c r="F38" s="50"/>
      <c r="G38" s="35">
        <v>17</v>
      </c>
      <c r="H38" s="35">
        <v>100</v>
      </c>
      <c r="I38" s="53">
        <v>1700</v>
      </c>
      <c r="J38" s="66"/>
      <c r="K38" s="66"/>
      <c r="L38" s="66"/>
      <c r="M38" s="66"/>
      <c r="N38" s="66"/>
      <c r="O38" s="66"/>
      <c r="P38" s="66"/>
      <c r="Q38" s="66"/>
      <c r="R38" s="25"/>
      <c r="S38" s="36"/>
      <c r="T38" s="53">
        <f t="shared" si="1"/>
        <v>68867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828</v>
      </c>
      <c r="C39" s="25" t="s">
        <v>630</v>
      </c>
      <c r="D39" s="25" t="s">
        <v>54</v>
      </c>
      <c r="E39" s="53">
        <v>17700</v>
      </c>
      <c r="F39" s="50"/>
      <c r="G39" s="35">
        <v>177</v>
      </c>
      <c r="H39" s="35">
        <v>100</v>
      </c>
      <c r="I39" s="53">
        <v>17700</v>
      </c>
      <c r="J39" s="66"/>
      <c r="K39" s="66"/>
      <c r="L39" s="66"/>
      <c r="M39" s="66"/>
      <c r="N39" s="66"/>
      <c r="O39" s="66"/>
      <c r="P39" s="66"/>
      <c r="Q39" s="66"/>
      <c r="R39" s="25"/>
      <c r="S39" s="36"/>
      <c r="T39" s="53">
        <f t="shared" si="1"/>
        <v>51167</v>
      </c>
      <c r="U39" s="42"/>
      <c r="V39" s="42"/>
      <c r="W39" s="42"/>
      <c r="X39" s="42"/>
      <c r="Y39" s="42"/>
    </row>
    <row r="40" ht="15.75" customHeight="1" spans="1:25" x14ac:dyDescent="0.25">
      <c r="A40" s="25" t="s">
        <v>882</v>
      </c>
      <c r="B40" s="35">
        <v>829</v>
      </c>
      <c r="C40" s="25" t="s">
        <v>883</v>
      </c>
      <c r="D40" s="25"/>
      <c r="E40" s="53">
        <v>1000</v>
      </c>
      <c r="F40" s="50"/>
      <c r="G40" s="35"/>
      <c r="H40" s="35"/>
      <c r="I40" s="53"/>
      <c r="J40" s="66"/>
      <c r="K40" s="66">
        <v>1000</v>
      </c>
      <c r="L40" s="66"/>
      <c r="M40" s="66"/>
      <c r="N40" s="66"/>
      <c r="O40" s="66"/>
      <c r="P40" s="67"/>
      <c r="Q40" s="66"/>
      <c r="R40" s="25"/>
      <c r="S40" s="36"/>
      <c r="T40" s="53">
        <f t="shared" si="1"/>
        <v>50167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830</v>
      </c>
      <c r="C41" s="25" t="s">
        <v>884</v>
      </c>
      <c r="D41" s="25" t="s">
        <v>844</v>
      </c>
      <c r="E41" s="53">
        <v>1000</v>
      </c>
      <c r="F41" s="50"/>
      <c r="G41" s="35"/>
      <c r="H41" s="35"/>
      <c r="I41" s="53"/>
      <c r="J41" s="66"/>
      <c r="K41" s="66">
        <v>1000</v>
      </c>
      <c r="L41" s="66"/>
      <c r="M41" s="67"/>
      <c r="N41" s="66"/>
      <c r="O41" s="66"/>
      <c r="P41" s="66"/>
      <c r="Q41" s="66"/>
      <c r="R41" s="25"/>
      <c r="S41" s="36"/>
      <c r="T41" s="53">
        <f t="shared" si="1"/>
        <v>49167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831</v>
      </c>
      <c r="C42" s="25" t="s">
        <v>13</v>
      </c>
      <c r="D42" s="25" t="s">
        <v>885</v>
      </c>
      <c r="E42" s="53">
        <v>2500</v>
      </c>
      <c r="F42" s="50"/>
      <c r="G42" s="35"/>
      <c r="H42" s="35"/>
      <c r="I42" s="53"/>
      <c r="J42" s="66"/>
      <c r="K42" s="66"/>
      <c r="L42" s="66"/>
      <c r="M42" s="66"/>
      <c r="N42" s="66"/>
      <c r="O42" s="66"/>
      <c r="P42" s="66"/>
      <c r="Q42" s="66">
        <v>2500</v>
      </c>
      <c r="R42" s="25"/>
      <c r="S42" s="36"/>
      <c r="T42" s="53">
        <f t="shared" si="1"/>
        <v>46667</v>
      </c>
      <c r="U42" s="42"/>
      <c r="V42" s="42"/>
      <c r="W42" s="42"/>
      <c r="X42" s="42"/>
      <c r="Y42" s="42"/>
    </row>
    <row r="43" ht="15.75" customHeight="1" spans="1:25" x14ac:dyDescent="0.25">
      <c r="A43" s="25"/>
      <c r="B43" s="35">
        <v>832</v>
      </c>
      <c r="C43" s="25" t="s">
        <v>637</v>
      </c>
      <c r="D43" s="25" t="s">
        <v>299</v>
      </c>
      <c r="E43" s="53">
        <v>400</v>
      </c>
      <c r="F43" s="50"/>
      <c r="G43" s="35"/>
      <c r="H43" s="35"/>
      <c r="I43" s="53"/>
      <c r="J43" s="66"/>
      <c r="K43" s="66"/>
      <c r="L43" s="66"/>
      <c r="M43" s="66"/>
      <c r="N43" s="66"/>
      <c r="O43" s="66"/>
      <c r="P43" s="66">
        <v>400</v>
      </c>
      <c r="Q43" s="66"/>
      <c r="R43" s="25"/>
      <c r="S43" s="36"/>
      <c r="T43" s="53">
        <f t="shared" si="1"/>
        <v>46267</v>
      </c>
      <c r="U43" s="42"/>
      <c r="V43" s="42"/>
      <c r="W43" s="42"/>
      <c r="X43" s="42"/>
      <c r="Y43" s="42"/>
    </row>
    <row r="44" ht="15.75" customHeight="1" spans="1:25" x14ac:dyDescent="0.25">
      <c r="A44" s="25" t="s">
        <v>886</v>
      </c>
      <c r="B44" s="35">
        <v>833</v>
      </c>
      <c r="C44" s="25" t="s">
        <v>887</v>
      </c>
      <c r="D44" s="25" t="s">
        <v>411</v>
      </c>
      <c r="E44" s="53">
        <v>1174</v>
      </c>
      <c r="F44" s="50"/>
      <c r="G44" s="35"/>
      <c r="H44" s="35"/>
      <c r="I44" s="53"/>
      <c r="J44" s="66"/>
      <c r="K44" s="66"/>
      <c r="L44" s="66"/>
      <c r="M44" s="66"/>
      <c r="N44" s="66"/>
      <c r="O44" s="66"/>
      <c r="P44" s="66">
        <v>1174</v>
      </c>
      <c r="Q44" s="66"/>
      <c r="R44" s="25"/>
      <c r="S44" s="36"/>
      <c r="T44" s="53">
        <f t="shared" si="1"/>
        <v>45093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834</v>
      </c>
      <c r="C45" s="25" t="s">
        <v>888</v>
      </c>
      <c r="D45" s="25" t="s">
        <v>411</v>
      </c>
      <c r="E45" s="53">
        <v>350</v>
      </c>
      <c r="F45" s="50"/>
      <c r="G45" s="35"/>
      <c r="H45" s="35"/>
      <c r="I45" s="53"/>
      <c r="J45" s="66"/>
      <c r="K45" s="66"/>
      <c r="L45" s="66"/>
      <c r="M45" s="66"/>
      <c r="N45" s="66"/>
      <c r="O45" s="66"/>
      <c r="P45" s="66">
        <v>350</v>
      </c>
      <c r="Q45" s="66"/>
      <c r="R45" s="25"/>
      <c r="S45" s="36"/>
      <c r="T45" s="53">
        <f t="shared" si="1"/>
        <v>44743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835</v>
      </c>
      <c r="C46" s="25" t="s">
        <v>889</v>
      </c>
      <c r="D46" s="25" t="s">
        <v>476</v>
      </c>
      <c r="E46" s="53">
        <v>700</v>
      </c>
      <c r="F46" s="50"/>
      <c r="G46" s="35"/>
      <c r="H46" s="35"/>
      <c r="I46" s="53"/>
      <c r="J46" s="66"/>
      <c r="K46" s="66"/>
      <c r="L46" s="66">
        <v>700</v>
      </c>
      <c r="M46" s="66"/>
      <c r="N46" s="66"/>
      <c r="O46" s="66"/>
      <c r="P46" s="66"/>
      <c r="Q46" s="66"/>
      <c r="R46" s="25"/>
      <c r="S46" s="36"/>
      <c r="T46" s="53">
        <f t="shared" si="1"/>
        <v>44043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836</v>
      </c>
      <c r="C47" s="25" t="s">
        <v>890</v>
      </c>
      <c r="D47" s="25" t="s">
        <v>476</v>
      </c>
      <c r="E47" s="53">
        <v>1000</v>
      </c>
      <c r="F47" s="50"/>
      <c r="G47" s="25"/>
      <c r="H47" s="35"/>
      <c r="I47" s="65"/>
      <c r="J47" s="66"/>
      <c r="K47" s="66"/>
      <c r="L47" s="66"/>
      <c r="M47" s="66"/>
      <c r="N47" s="66"/>
      <c r="O47" s="66"/>
      <c r="P47" s="66">
        <v>1000</v>
      </c>
      <c r="Q47" s="66"/>
      <c r="R47" s="25"/>
      <c r="S47" s="36"/>
      <c r="T47" s="53">
        <f t="shared" si="1"/>
        <v>43043</v>
      </c>
      <c r="U47" s="42"/>
      <c r="V47" s="42"/>
      <c r="W47" s="42"/>
      <c r="X47" s="42"/>
      <c r="Y47" s="42"/>
    </row>
    <row r="48" ht="15.75" customHeight="1" spans="1:25" x14ac:dyDescent="0.25">
      <c r="A48" s="25"/>
      <c r="B48" s="35">
        <v>837</v>
      </c>
      <c r="C48" s="25" t="s">
        <v>891</v>
      </c>
      <c r="D48" s="25" t="s">
        <v>844</v>
      </c>
      <c r="E48" s="53">
        <v>1000</v>
      </c>
      <c r="F48" s="50"/>
      <c r="G48" s="35"/>
      <c r="H48" s="25"/>
      <c r="I48" s="65"/>
      <c r="J48" s="66"/>
      <c r="K48" s="66">
        <v>1000</v>
      </c>
      <c r="L48" s="66"/>
      <c r="M48" s="66"/>
      <c r="N48" s="66"/>
      <c r="O48" s="66"/>
      <c r="P48" s="66"/>
      <c r="Q48" s="66"/>
      <c r="R48" s="25"/>
      <c r="S48" s="36"/>
      <c r="T48" s="53">
        <f t="shared" si="1"/>
        <v>42043</v>
      </c>
      <c r="U48" s="42"/>
      <c r="V48" s="42"/>
      <c r="W48" s="42"/>
      <c r="X48" s="42"/>
      <c r="Y48" s="42"/>
    </row>
    <row r="49" ht="15.75" customHeight="1" spans="1:25" x14ac:dyDescent="0.25">
      <c r="A49" s="25" t="s">
        <v>892</v>
      </c>
      <c r="B49" s="35">
        <v>838</v>
      </c>
      <c r="C49" s="25" t="s">
        <v>48</v>
      </c>
      <c r="D49" s="25" t="s">
        <v>279</v>
      </c>
      <c r="E49" s="53">
        <v>360</v>
      </c>
      <c r="F49" s="50"/>
      <c r="G49" s="35"/>
      <c r="H49" s="25"/>
      <c r="I49" s="65"/>
      <c r="J49" s="66"/>
      <c r="K49" s="66"/>
      <c r="L49" s="66"/>
      <c r="M49" s="66"/>
      <c r="N49" s="66"/>
      <c r="O49" s="66">
        <v>360</v>
      </c>
      <c r="P49" s="66"/>
      <c r="Q49" s="66"/>
      <c r="R49" s="25"/>
      <c r="S49" s="36"/>
      <c r="T49" s="53">
        <f t="shared" si="1"/>
        <v>41683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839</v>
      </c>
      <c r="C50" s="25" t="s">
        <v>893</v>
      </c>
      <c r="D50" s="25" t="s">
        <v>649</v>
      </c>
      <c r="E50" s="53">
        <v>4253</v>
      </c>
      <c r="F50" s="50"/>
      <c r="G50" s="35"/>
      <c r="H50" s="25"/>
      <c r="I50" s="65">
        <v>4253</v>
      </c>
      <c r="J50" s="66"/>
      <c r="K50" s="66"/>
      <c r="L50" s="66"/>
      <c r="M50" s="66"/>
      <c r="N50" s="66"/>
      <c r="O50" s="66"/>
      <c r="P50" s="66"/>
      <c r="Q50" s="66"/>
      <c r="R50" s="25"/>
      <c r="S50" s="36"/>
      <c r="T50" s="53">
        <f t="shared" si="1"/>
        <v>37430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840</v>
      </c>
      <c r="C51" s="25" t="s">
        <v>894</v>
      </c>
      <c r="D51" s="25" t="s">
        <v>52</v>
      </c>
      <c r="E51" s="53">
        <v>1700</v>
      </c>
      <c r="F51" s="50"/>
      <c r="G51" s="35">
        <v>17</v>
      </c>
      <c r="H51" s="35">
        <v>100</v>
      </c>
      <c r="I51" s="53">
        <v>1700</v>
      </c>
      <c r="J51" s="66"/>
      <c r="K51" s="66"/>
      <c r="L51" s="66"/>
      <c r="M51" s="66"/>
      <c r="N51" s="66"/>
      <c r="O51" s="66"/>
      <c r="P51" s="66"/>
      <c r="Q51" s="66"/>
      <c r="R51" s="25"/>
      <c r="S51" s="36"/>
      <c r="T51" s="53">
        <f t="shared" si="1"/>
        <v>35730</v>
      </c>
      <c r="U51" s="42"/>
      <c r="V51" s="42"/>
      <c r="W51" s="42"/>
      <c r="X51" s="42"/>
      <c r="Y51" s="42"/>
    </row>
    <row r="52" ht="15.75" customHeight="1" spans="1:25" x14ac:dyDescent="0.25">
      <c r="A52" s="25" t="s">
        <v>895</v>
      </c>
      <c r="B52" s="35">
        <v>841</v>
      </c>
      <c r="C52" s="25" t="s">
        <v>428</v>
      </c>
      <c r="D52" s="25" t="s">
        <v>618</v>
      </c>
      <c r="E52" s="53">
        <v>5100</v>
      </c>
      <c r="F52" s="50"/>
      <c r="G52" s="35">
        <v>34</v>
      </c>
      <c r="H52" s="35">
        <v>150</v>
      </c>
      <c r="I52" s="53">
        <v>5100</v>
      </c>
      <c r="J52" s="66"/>
      <c r="K52" s="66"/>
      <c r="L52" s="66"/>
      <c r="M52" s="66"/>
      <c r="N52" s="66"/>
      <c r="O52" s="66"/>
      <c r="P52" s="66"/>
      <c r="Q52" s="66"/>
      <c r="R52" s="25"/>
      <c r="S52" s="36"/>
      <c r="T52" s="53">
        <f t="shared" si="1"/>
        <v>30630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842</v>
      </c>
      <c r="C53" s="25" t="s">
        <v>896</v>
      </c>
      <c r="D53" s="25" t="s">
        <v>358</v>
      </c>
      <c r="E53" s="53">
        <v>850</v>
      </c>
      <c r="F53" s="50"/>
      <c r="G53" s="25"/>
      <c r="H53" s="25"/>
      <c r="I53" s="65"/>
      <c r="J53" s="66"/>
      <c r="K53" s="66"/>
      <c r="L53" s="66"/>
      <c r="M53" s="66"/>
      <c r="N53" s="66"/>
      <c r="O53" s="66"/>
      <c r="P53" s="66">
        <v>850</v>
      </c>
      <c r="Q53" s="66"/>
      <c r="R53" s="25"/>
      <c r="S53" s="36"/>
      <c r="T53" s="53">
        <f t="shared" si="1"/>
        <v>29780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843</v>
      </c>
      <c r="C54" s="25" t="s">
        <v>897</v>
      </c>
      <c r="D54" s="25" t="s">
        <v>557</v>
      </c>
      <c r="E54" s="53">
        <v>2220</v>
      </c>
      <c r="F54" s="50"/>
      <c r="G54" s="25"/>
      <c r="H54" s="25"/>
      <c r="I54" s="65"/>
      <c r="J54" s="66"/>
      <c r="K54" s="66"/>
      <c r="L54" s="66"/>
      <c r="M54" s="66"/>
      <c r="N54" s="66"/>
      <c r="O54" s="66"/>
      <c r="P54" s="66"/>
      <c r="Q54" s="66"/>
      <c r="R54" s="25">
        <v>2220</v>
      </c>
      <c r="S54" s="36"/>
      <c r="T54" s="53">
        <f t="shared" si="1"/>
        <v>27560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844</v>
      </c>
      <c r="C55" s="25" t="s">
        <v>137</v>
      </c>
      <c r="D55" s="25" t="s">
        <v>898</v>
      </c>
      <c r="E55" s="53">
        <v>400</v>
      </c>
      <c r="F55" s="50"/>
      <c r="G55" s="25"/>
      <c r="H55" s="25"/>
      <c r="I55" s="65"/>
      <c r="J55" s="66"/>
      <c r="K55" s="66"/>
      <c r="L55" s="66"/>
      <c r="M55" s="66"/>
      <c r="N55" s="66"/>
      <c r="O55" s="66"/>
      <c r="P55" s="66"/>
      <c r="Q55" s="66"/>
      <c r="R55" s="25">
        <v>400</v>
      </c>
      <c r="S55" s="36"/>
      <c r="T55" s="53">
        <f t="shared" si="1"/>
        <v>27160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845</v>
      </c>
      <c r="C56" s="25" t="s">
        <v>48</v>
      </c>
      <c r="D56" s="25" t="s">
        <v>279</v>
      </c>
      <c r="E56" s="53">
        <v>80</v>
      </c>
      <c r="F56" s="50"/>
      <c r="G56" s="25"/>
      <c r="H56" s="25"/>
      <c r="I56" s="65"/>
      <c r="J56" s="66"/>
      <c r="K56" s="66"/>
      <c r="L56" s="66"/>
      <c r="M56" s="66"/>
      <c r="N56" s="66"/>
      <c r="O56" s="66">
        <v>80</v>
      </c>
      <c r="P56" s="66"/>
      <c r="Q56" s="66"/>
      <c r="R56" s="25"/>
      <c r="S56" s="36"/>
      <c r="T56" s="53">
        <f t="shared" si="1"/>
        <v>27080</v>
      </c>
      <c r="U56" s="42"/>
      <c r="V56" s="42"/>
      <c r="W56" s="42"/>
      <c r="X56" s="42"/>
      <c r="Y56" s="42"/>
    </row>
    <row r="57" ht="15.75" customHeight="1" spans="1:25" x14ac:dyDescent="0.25">
      <c r="A57" s="25"/>
      <c r="B57" s="35">
        <v>846</v>
      </c>
      <c r="C57" s="25" t="s">
        <v>899</v>
      </c>
      <c r="D57" s="25" t="s">
        <v>881</v>
      </c>
      <c r="E57" s="53">
        <v>450</v>
      </c>
      <c r="F57" s="50"/>
      <c r="G57" s="25"/>
      <c r="H57" s="25"/>
      <c r="I57" s="65"/>
      <c r="J57" s="66"/>
      <c r="K57" s="66"/>
      <c r="L57" s="66"/>
      <c r="M57" s="66"/>
      <c r="N57" s="66"/>
      <c r="O57" s="66"/>
      <c r="P57" s="66"/>
      <c r="Q57" s="66"/>
      <c r="R57" s="25">
        <v>450</v>
      </c>
      <c r="S57" s="36"/>
      <c r="T57" s="53">
        <f t="shared" si="1"/>
        <v>26630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847</v>
      </c>
      <c r="C58" s="25" t="s">
        <v>900</v>
      </c>
      <c r="D58" s="25" t="s">
        <v>119</v>
      </c>
      <c r="E58" s="53">
        <v>300</v>
      </c>
      <c r="F58" s="50"/>
      <c r="G58" s="35"/>
      <c r="H58" s="35"/>
      <c r="I58" s="65"/>
      <c r="J58" s="66"/>
      <c r="K58" s="66"/>
      <c r="L58" s="66"/>
      <c r="M58" s="66">
        <v>300</v>
      </c>
      <c r="N58" s="66"/>
      <c r="O58" s="66"/>
      <c r="P58" s="66"/>
      <c r="Q58" s="66"/>
      <c r="R58" s="25"/>
      <c r="S58" s="36"/>
      <c r="T58" s="53">
        <f t="shared" si="1"/>
        <v>26330</v>
      </c>
      <c r="U58" s="42"/>
      <c r="V58" s="42"/>
      <c r="W58" s="42"/>
      <c r="X58" s="42"/>
      <c r="Y58" s="42"/>
    </row>
    <row r="59" ht="15.75" customHeight="1" spans="1:25" x14ac:dyDescent="0.25">
      <c r="A59" s="25" t="s">
        <v>901</v>
      </c>
      <c r="B59" s="35">
        <v>848</v>
      </c>
      <c r="C59" s="25" t="s">
        <v>902</v>
      </c>
      <c r="D59" s="25" t="s">
        <v>903</v>
      </c>
      <c r="E59" s="53">
        <v>1000</v>
      </c>
      <c r="F59" s="50"/>
      <c r="G59" s="35"/>
      <c r="H59" s="35"/>
      <c r="I59" s="65"/>
      <c r="J59" s="66"/>
      <c r="K59" s="66">
        <v>1000</v>
      </c>
      <c r="L59" s="66"/>
      <c r="M59" s="67"/>
      <c r="N59" s="66"/>
      <c r="O59" s="66"/>
      <c r="P59" s="66"/>
      <c r="Q59" s="66"/>
      <c r="R59" s="25"/>
      <c r="S59" s="36"/>
      <c r="T59" s="53">
        <f t="shared" si="1"/>
        <v>25330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849</v>
      </c>
      <c r="C60" s="25" t="s">
        <v>904</v>
      </c>
      <c r="D60" s="25" t="s">
        <v>844</v>
      </c>
      <c r="E60" s="53">
        <v>3000</v>
      </c>
      <c r="F60" s="50"/>
      <c r="G60" s="35"/>
      <c r="H60" s="35"/>
      <c r="I60" s="65"/>
      <c r="J60" s="66"/>
      <c r="K60" s="66">
        <v>3000</v>
      </c>
      <c r="L60" s="66"/>
      <c r="M60" s="66"/>
      <c r="N60" s="66"/>
      <c r="O60" s="66"/>
      <c r="P60" s="67"/>
      <c r="Q60" s="66"/>
      <c r="R60" s="25"/>
      <c r="S60" s="36"/>
      <c r="T60" s="53">
        <f t="shared" si="1"/>
        <v>22330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850</v>
      </c>
      <c r="C61" s="25" t="s">
        <v>48</v>
      </c>
      <c r="D61" s="25" t="s">
        <v>279</v>
      </c>
      <c r="E61" s="53">
        <v>80</v>
      </c>
      <c r="F61" s="50"/>
      <c r="G61" s="35"/>
      <c r="H61" s="25"/>
      <c r="I61" s="65"/>
      <c r="J61" s="66"/>
      <c r="K61" s="66"/>
      <c r="L61" s="66"/>
      <c r="M61" s="66"/>
      <c r="N61" s="66"/>
      <c r="O61" s="66">
        <v>80</v>
      </c>
      <c r="P61" s="66"/>
      <c r="Q61" s="66"/>
      <c r="R61" s="25"/>
      <c r="S61" s="36"/>
      <c r="T61" s="53">
        <f t="shared" si="1"/>
        <v>22250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851</v>
      </c>
      <c r="C62" s="25" t="s">
        <v>905</v>
      </c>
      <c r="D62" s="25" t="s">
        <v>649</v>
      </c>
      <c r="E62" s="53">
        <v>1780</v>
      </c>
      <c r="F62" s="50"/>
      <c r="G62" s="35">
        <v>8.9</v>
      </c>
      <c r="H62" s="35">
        <v>200</v>
      </c>
      <c r="I62" s="53">
        <v>1780</v>
      </c>
      <c r="J62" s="66"/>
      <c r="K62" s="66"/>
      <c r="L62" s="66"/>
      <c r="M62" s="66"/>
      <c r="N62" s="66"/>
      <c r="O62" s="66"/>
      <c r="P62" s="66"/>
      <c r="Q62" s="66"/>
      <c r="R62" s="25"/>
      <c r="S62" s="36"/>
      <c r="T62" s="53">
        <f t="shared" si="1"/>
        <v>20470</v>
      </c>
      <c r="U62" s="42"/>
      <c r="V62" s="42"/>
      <c r="W62" s="42"/>
      <c r="X62" s="42"/>
      <c r="Y62" s="42"/>
    </row>
    <row r="63" ht="15.75" customHeight="1" spans="1:25" x14ac:dyDescent="0.25">
      <c r="A63" s="25"/>
      <c r="B63" s="35">
        <v>852</v>
      </c>
      <c r="C63" s="25" t="s">
        <v>906</v>
      </c>
      <c r="D63" s="25" t="s">
        <v>52</v>
      </c>
      <c r="E63" s="53">
        <v>2100</v>
      </c>
      <c r="F63" s="50"/>
      <c r="G63" s="35">
        <v>14</v>
      </c>
      <c r="H63" s="35">
        <v>150</v>
      </c>
      <c r="I63" s="53">
        <v>2100</v>
      </c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 t="shared" si="1"/>
        <v>18370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853</v>
      </c>
      <c r="C64" s="25" t="s">
        <v>907</v>
      </c>
      <c r="D64" s="25" t="s">
        <v>53</v>
      </c>
      <c r="E64" s="53">
        <v>2880</v>
      </c>
      <c r="F64" s="50"/>
      <c r="G64" s="35">
        <v>24</v>
      </c>
      <c r="H64" s="35">
        <v>120</v>
      </c>
      <c r="I64" s="53">
        <v>2880</v>
      </c>
      <c r="J64" s="66"/>
      <c r="K64" s="66"/>
      <c r="L64" s="66"/>
      <c r="M64" s="66"/>
      <c r="N64" s="66"/>
      <c r="O64" s="67"/>
      <c r="P64" s="66"/>
      <c r="Q64" s="66"/>
      <c r="R64" s="25"/>
      <c r="S64" s="36"/>
      <c r="T64" s="53">
        <f t="shared" si="1"/>
        <v>15490</v>
      </c>
      <c r="U64" s="42"/>
      <c r="V64" s="42"/>
      <c r="W64" s="42"/>
      <c r="X64" s="42"/>
      <c r="Y64" s="42"/>
    </row>
    <row r="65" ht="15.75" customHeight="1" spans="1:25" x14ac:dyDescent="0.25">
      <c r="A65" s="25" t="s">
        <v>908</v>
      </c>
      <c r="B65" s="35">
        <v>854</v>
      </c>
      <c r="C65" s="25" t="s">
        <v>13</v>
      </c>
      <c r="D65" s="25" t="s">
        <v>636</v>
      </c>
      <c r="E65" s="53">
        <v>2500</v>
      </c>
      <c r="F65" s="50"/>
      <c r="G65" s="35"/>
      <c r="H65" s="35"/>
      <c r="I65" s="53"/>
      <c r="J65" s="66"/>
      <c r="K65" s="66"/>
      <c r="L65" s="66"/>
      <c r="M65" s="66"/>
      <c r="N65" s="66"/>
      <c r="O65" s="67"/>
      <c r="P65" s="66"/>
      <c r="Q65" s="66">
        <v>2500</v>
      </c>
      <c r="R65" s="25"/>
      <c r="S65" s="36"/>
      <c r="T65" s="53">
        <f t="shared" si="1"/>
        <v>12990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855</v>
      </c>
      <c r="C66" s="25" t="s">
        <v>637</v>
      </c>
      <c r="D66" s="25" t="s">
        <v>299</v>
      </c>
      <c r="E66" s="53">
        <v>400</v>
      </c>
      <c r="F66" s="50"/>
      <c r="G66" s="35"/>
      <c r="H66" s="35"/>
      <c r="I66" s="53"/>
      <c r="J66" s="66"/>
      <c r="K66" s="66"/>
      <c r="L66" s="66"/>
      <c r="M66" s="66"/>
      <c r="N66" s="66"/>
      <c r="O66" s="66"/>
      <c r="P66" s="66">
        <v>400</v>
      </c>
      <c r="Q66" s="67"/>
      <c r="R66" s="25"/>
      <c r="S66" s="36"/>
      <c r="T66" s="53">
        <f t="shared" si="1"/>
        <v>12590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856</v>
      </c>
      <c r="C67" s="25" t="s">
        <v>909</v>
      </c>
      <c r="D67" s="25" t="s">
        <v>279</v>
      </c>
      <c r="E67" s="53">
        <v>390</v>
      </c>
      <c r="F67" s="50"/>
      <c r="G67" s="35"/>
      <c r="H67" s="35"/>
      <c r="I67" s="53"/>
      <c r="J67" s="66"/>
      <c r="K67" s="66"/>
      <c r="L67" s="66"/>
      <c r="M67" s="66"/>
      <c r="N67" s="66"/>
      <c r="O67" s="66">
        <v>390</v>
      </c>
      <c r="P67" s="67"/>
      <c r="Q67" s="66"/>
      <c r="R67" s="25"/>
      <c r="S67" s="36"/>
      <c r="T67" s="53">
        <f t="shared" si="1"/>
        <v>12200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857</v>
      </c>
      <c r="C68" s="25" t="s">
        <v>48</v>
      </c>
      <c r="D68" s="25" t="s">
        <v>279</v>
      </c>
      <c r="E68" s="53">
        <v>1400</v>
      </c>
      <c r="F68" s="50"/>
      <c r="G68" s="25"/>
      <c r="H68" s="25"/>
      <c r="I68" s="65"/>
      <c r="J68" s="66"/>
      <c r="K68" s="66"/>
      <c r="L68" s="66"/>
      <c r="M68" s="66"/>
      <c r="N68" s="66"/>
      <c r="O68" s="66">
        <v>1400</v>
      </c>
      <c r="P68" s="66"/>
      <c r="Q68" s="66"/>
      <c r="R68" s="25"/>
      <c r="S68" s="36"/>
      <c r="T68" s="53">
        <f t="shared" si="1"/>
        <v>10800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858</v>
      </c>
      <c r="C69" s="25" t="s">
        <v>910</v>
      </c>
      <c r="D69" s="25" t="s">
        <v>52</v>
      </c>
      <c r="E69" s="53">
        <v>900</v>
      </c>
      <c r="F69" s="50"/>
      <c r="G69" s="35">
        <v>6</v>
      </c>
      <c r="H69" s="35">
        <v>150</v>
      </c>
      <c r="I69" s="53">
        <v>900</v>
      </c>
      <c r="J69" s="66"/>
      <c r="K69" s="66"/>
      <c r="L69" s="66"/>
      <c r="M69" s="66"/>
      <c r="N69" s="66"/>
      <c r="O69" s="66"/>
      <c r="P69" s="66"/>
      <c r="Q69" s="66"/>
      <c r="R69" s="25"/>
      <c r="S69" s="36"/>
      <c r="T69" s="53">
        <f t="shared" si="1"/>
        <v>9900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>
        <v>859</v>
      </c>
      <c r="C70" s="25" t="s">
        <v>911</v>
      </c>
      <c r="D70" s="25" t="s">
        <v>406</v>
      </c>
      <c r="E70" s="53">
        <v>4560</v>
      </c>
      <c r="F70" s="50"/>
      <c r="G70" s="25"/>
      <c r="H70" s="25"/>
      <c r="I70" s="53">
        <v>4560</v>
      </c>
      <c r="J70" s="66"/>
      <c r="K70" s="66"/>
      <c r="L70" s="66"/>
      <c r="M70" s="66"/>
      <c r="N70" s="66"/>
      <c r="O70" s="66"/>
      <c r="P70" s="66"/>
      <c r="Q70" s="66"/>
      <c r="R70" s="25"/>
      <c r="S70" s="36"/>
      <c r="T70" s="53">
        <f t="shared" si="1"/>
        <v>5340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860</v>
      </c>
      <c r="C71" s="25" t="s">
        <v>912</v>
      </c>
      <c r="D71" s="25" t="s">
        <v>28</v>
      </c>
      <c r="E71" s="53">
        <v>1280</v>
      </c>
      <c r="F71" s="50"/>
      <c r="G71" s="25"/>
      <c r="H71" s="25"/>
      <c r="I71" s="65"/>
      <c r="J71" s="66"/>
      <c r="K71" s="66"/>
      <c r="L71" s="66">
        <v>1280</v>
      </c>
      <c r="M71" s="66"/>
      <c r="N71" s="66"/>
      <c r="O71" s="66"/>
      <c r="P71" s="66"/>
      <c r="Q71" s="66"/>
      <c r="R71" s="25"/>
      <c r="S71" s="36"/>
      <c r="T71" s="53">
        <f t="shared" si="1"/>
        <v>4060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913</v>
      </c>
      <c r="B72" s="35">
        <v>861</v>
      </c>
      <c r="C72" s="25" t="s">
        <v>510</v>
      </c>
      <c r="D72" s="25" t="s">
        <v>279</v>
      </c>
      <c r="E72" s="53">
        <v>100</v>
      </c>
      <c r="F72" s="50"/>
      <c r="G72" s="35"/>
      <c r="H72" s="35"/>
      <c r="I72" s="53"/>
      <c r="J72" s="66"/>
      <c r="K72" s="66"/>
      <c r="L72" s="66"/>
      <c r="M72" s="66"/>
      <c r="N72" s="66"/>
      <c r="O72" s="66">
        <v>100</v>
      </c>
      <c r="P72" s="66"/>
      <c r="Q72" s="66"/>
      <c r="R72" s="25"/>
      <c r="S72" s="36"/>
      <c r="T72" s="53">
        <f t="shared" si="1"/>
        <v>3960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862</v>
      </c>
      <c r="C73" s="25" t="s">
        <v>513</v>
      </c>
      <c r="D73" s="25" t="s">
        <v>649</v>
      </c>
      <c r="E73" s="53">
        <v>163</v>
      </c>
      <c r="F73" s="50"/>
      <c r="G73" s="35"/>
      <c r="H73" s="35"/>
      <c r="I73" s="53"/>
      <c r="J73" s="66"/>
      <c r="K73" s="66"/>
      <c r="L73" s="66">
        <v>163</v>
      </c>
      <c r="M73" s="66"/>
      <c r="N73" s="66"/>
      <c r="O73" s="66"/>
      <c r="P73" s="66"/>
      <c r="Q73" s="66"/>
      <c r="R73" s="25"/>
      <c r="S73" s="36"/>
      <c r="T73" s="53">
        <f t="shared" si="1"/>
        <v>3797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863</v>
      </c>
      <c r="C74" s="25" t="s">
        <v>914</v>
      </c>
      <c r="D74" s="25" t="s">
        <v>279</v>
      </c>
      <c r="E74" s="53">
        <v>2220</v>
      </c>
      <c r="F74" s="50"/>
      <c r="G74" s="35"/>
      <c r="H74" s="35"/>
      <c r="I74" s="53"/>
      <c r="J74" s="66"/>
      <c r="K74" s="66"/>
      <c r="L74" s="66"/>
      <c r="M74" s="66"/>
      <c r="N74" s="66"/>
      <c r="O74" s="66"/>
      <c r="P74" s="66">
        <v>2220</v>
      </c>
      <c r="Q74" s="66"/>
      <c r="R74" s="25"/>
      <c r="S74" s="36"/>
      <c r="T74" s="53">
        <f t="shared" si="1"/>
        <v>1577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/>
      <c r="C75" s="25" t="s">
        <v>879</v>
      </c>
      <c r="D75" s="25"/>
      <c r="E75" s="53"/>
      <c r="F75" s="68">
        <v>100000</v>
      </c>
      <c r="G75" s="35"/>
      <c r="H75" s="35"/>
      <c r="I75" s="53"/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>T74-E75+100000</f>
        <v>101577</v>
      </c>
      <c r="U75" s="42"/>
      <c r="V75" s="42"/>
      <c r="W75" s="42"/>
      <c r="X75" s="42"/>
      <c r="Y75" s="42"/>
    </row>
    <row r="76" ht="15.75" customHeight="1" spans="1:25" x14ac:dyDescent="0.25">
      <c r="A76" s="25" t="s">
        <v>915</v>
      </c>
      <c r="B76" s="35">
        <v>864</v>
      </c>
      <c r="C76" s="25" t="s">
        <v>916</v>
      </c>
      <c r="D76" s="25" t="s">
        <v>917</v>
      </c>
      <c r="E76" s="53">
        <v>2870</v>
      </c>
      <c r="F76" s="50"/>
      <c r="G76" s="35"/>
      <c r="H76" s="35"/>
      <c r="I76" s="53"/>
      <c r="J76" s="66"/>
      <c r="K76" s="67"/>
      <c r="L76" s="66"/>
      <c r="M76" s="66"/>
      <c r="N76" s="66"/>
      <c r="O76" s="66"/>
      <c r="P76" s="66">
        <v>2870</v>
      </c>
      <c r="Q76" s="66"/>
      <c r="R76" s="25"/>
      <c r="S76" s="36"/>
      <c r="T76" s="53">
        <f t="shared" ref="T76:T84" si="2">T75-E76</f>
        <v>98707</v>
      </c>
      <c r="U76" s="42"/>
      <c r="V76" s="42"/>
      <c r="W76" s="42"/>
      <c r="X76" s="42"/>
      <c r="Y76" s="42"/>
    </row>
    <row r="77" ht="15.75" customHeight="1" spans="1:25" x14ac:dyDescent="0.25">
      <c r="A77" s="25" t="s">
        <v>918</v>
      </c>
      <c r="B77" s="35">
        <v>865</v>
      </c>
      <c r="C77" s="25" t="s">
        <v>919</v>
      </c>
      <c r="D77" s="25" t="s">
        <v>279</v>
      </c>
      <c r="E77" s="53">
        <v>2250</v>
      </c>
      <c r="F77" s="50"/>
      <c r="G77" s="35"/>
      <c r="H77" s="35"/>
      <c r="I77" s="53"/>
      <c r="J77" s="66"/>
      <c r="K77" s="66"/>
      <c r="L77" s="66"/>
      <c r="M77" s="66"/>
      <c r="N77" s="66"/>
      <c r="O77" s="66">
        <v>2250</v>
      </c>
      <c r="P77" s="66"/>
      <c r="Q77" s="66"/>
      <c r="R77" s="25"/>
      <c r="S77" s="36"/>
      <c r="T77" s="53">
        <f t="shared" si="2"/>
        <v>96457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866</v>
      </c>
      <c r="C78" s="25" t="s">
        <v>250</v>
      </c>
      <c r="D78" s="25" t="s">
        <v>530</v>
      </c>
      <c r="E78" s="53">
        <v>3300</v>
      </c>
      <c r="F78" s="50"/>
      <c r="G78" s="35">
        <v>33</v>
      </c>
      <c r="H78" s="35">
        <v>100</v>
      </c>
      <c r="I78" s="53">
        <v>3300</v>
      </c>
      <c r="J78" s="66"/>
      <c r="K78" s="66"/>
      <c r="L78" s="66"/>
      <c r="M78" s="66"/>
      <c r="N78" s="66"/>
      <c r="O78" s="66"/>
      <c r="P78" s="66"/>
      <c r="Q78" s="66"/>
      <c r="R78" s="25"/>
      <c r="S78" s="36"/>
      <c r="T78" s="53">
        <f t="shared" si="2"/>
        <v>93157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/>
      <c r="C79" s="25"/>
      <c r="D79" s="25"/>
      <c r="E79" s="53"/>
      <c r="F79" s="50"/>
      <c r="G79" s="35"/>
      <c r="H79" s="35"/>
      <c r="I79" s="53"/>
      <c r="J79" s="66"/>
      <c r="K79" s="66"/>
      <c r="L79" s="66"/>
      <c r="M79" s="66"/>
      <c r="N79" s="66"/>
      <c r="O79" s="66"/>
      <c r="P79" s="66"/>
      <c r="Q79" s="66"/>
      <c r="R79" s="25"/>
      <c r="S79" s="36"/>
      <c r="T79" s="53">
        <f t="shared" si="2"/>
        <v>93157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/>
      <c r="C80" s="25"/>
      <c r="D80" s="25"/>
      <c r="E80" s="53"/>
      <c r="F80" s="50"/>
      <c r="G80" s="35"/>
      <c r="H80" s="35"/>
      <c r="I80" s="53"/>
      <c r="J80" s="66"/>
      <c r="K80" s="66"/>
      <c r="L80" s="66"/>
      <c r="M80" s="66"/>
      <c r="N80" s="66"/>
      <c r="O80" s="66"/>
      <c r="P80" s="67"/>
      <c r="Q80" s="66"/>
      <c r="R80" s="25"/>
      <c r="S80" s="36"/>
      <c r="T80" s="53">
        <f t="shared" si="2"/>
        <v>93157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/>
      <c r="C81" s="25"/>
      <c r="D81" s="25"/>
      <c r="E81" s="53"/>
      <c r="F81" s="50"/>
      <c r="G81" s="35"/>
      <c r="H81" s="35"/>
      <c r="I81" s="53"/>
      <c r="J81" s="66"/>
      <c r="K81" s="66"/>
      <c r="L81" s="66"/>
      <c r="M81" s="66"/>
      <c r="N81" s="66"/>
      <c r="O81" s="66"/>
      <c r="P81" s="66"/>
      <c r="Q81" s="67"/>
      <c r="R81" s="25"/>
      <c r="S81" s="36"/>
      <c r="T81" s="53">
        <f t="shared" si="2"/>
        <v>93157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/>
      <c r="C82" s="25"/>
      <c r="D82" s="25"/>
      <c r="E82" s="53"/>
      <c r="F82" s="50"/>
      <c r="G82" s="25"/>
      <c r="H82" s="25"/>
      <c r="I82" s="53"/>
      <c r="J82" s="66"/>
      <c r="K82" s="66"/>
      <c r="L82" s="66"/>
      <c r="M82" s="66"/>
      <c r="N82" s="66"/>
      <c r="O82" s="66"/>
      <c r="P82" s="67"/>
      <c r="Q82" s="66"/>
      <c r="R82" s="25"/>
      <c r="S82" s="36"/>
      <c r="T82" s="53">
        <f t="shared" si="2"/>
        <v>93157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/>
      <c r="C83" s="25"/>
      <c r="D83" s="25"/>
      <c r="E83" s="53"/>
      <c r="F83" s="50"/>
      <c r="G83" s="25"/>
      <c r="H83" s="25"/>
      <c r="I83" s="53"/>
      <c r="J83" s="66"/>
      <c r="K83" s="66"/>
      <c r="L83" s="66"/>
      <c r="M83" s="66"/>
      <c r="N83" s="66"/>
      <c r="O83" s="66"/>
      <c r="P83" s="67"/>
      <c r="Q83" s="66"/>
      <c r="R83" s="25"/>
      <c r="S83" s="36"/>
      <c r="T83" s="53">
        <f t="shared" si="2"/>
        <v>93157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/>
      <c r="C84" s="25"/>
      <c r="D84" s="25"/>
      <c r="E84" s="53"/>
      <c r="F84" s="50"/>
      <c r="G84" s="35"/>
      <c r="H84" s="35"/>
      <c r="I84" s="53"/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2"/>
        <v>93157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/>
      <c r="C85" s="25"/>
      <c r="D85" s="25"/>
      <c r="E85" s="53"/>
      <c r="F85" s="50"/>
      <c r="G85" s="35"/>
      <c r="H85" s="35"/>
      <c r="I85" s="53"/>
      <c r="J85" s="66"/>
      <c r="K85" s="66"/>
      <c r="L85" s="66"/>
      <c r="M85" s="66"/>
      <c r="N85" s="66"/>
      <c r="O85" s="66"/>
      <c r="P85" s="66"/>
      <c r="Q85" s="66"/>
      <c r="R85" s="25"/>
      <c r="S85" s="36"/>
      <c r="T85" s="53"/>
      <c r="U85" s="42"/>
      <c r="V85" s="42"/>
      <c r="W85" s="42"/>
      <c r="X85" s="42"/>
      <c r="Y85" s="42"/>
    </row>
    <row r="86" ht="15.75" customHeight="1" spans="1:25" x14ac:dyDescent="0.25">
      <c r="A86" s="25"/>
      <c r="B86" s="35"/>
      <c r="C86" s="25"/>
      <c r="D86" s="25"/>
      <c r="E86" s="53"/>
      <c r="F86" s="50"/>
      <c r="G86" s="35"/>
      <c r="H86" s="35"/>
      <c r="I86" s="53"/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ref="T86:T111" si="3">T85-E86</f>
        <v>0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/>
      <c r="C87" s="25"/>
      <c r="D87" s="25"/>
      <c r="E87" s="53"/>
      <c r="F87" s="50"/>
      <c r="G87" s="25"/>
      <c r="H87" s="25"/>
      <c r="I87" s="65"/>
      <c r="J87" s="66"/>
      <c r="K87" s="66"/>
      <c r="L87" s="66"/>
      <c r="M87" s="66"/>
      <c r="N87" s="66"/>
      <c r="O87" s="66"/>
      <c r="P87" s="66"/>
      <c r="Q87" s="66"/>
      <c r="R87" s="25"/>
      <c r="S87" s="36"/>
      <c r="T87" s="53">
        <f t="shared" si="3"/>
        <v>0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/>
      <c r="C88" s="25"/>
      <c r="D88" s="25"/>
      <c r="E88" s="53"/>
      <c r="F88" s="50"/>
      <c r="G88" s="25"/>
      <c r="H88" s="25"/>
      <c r="I88" s="65"/>
      <c r="J88" s="66"/>
      <c r="K88" s="66"/>
      <c r="L88" s="66"/>
      <c r="M88" s="66"/>
      <c r="N88" s="66"/>
      <c r="O88" s="66"/>
      <c r="P88" s="66"/>
      <c r="Q88" s="66"/>
      <c r="R88" s="25"/>
      <c r="S88" s="36"/>
      <c r="T88" s="53">
        <f t="shared" si="3"/>
        <v>0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/>
      <c r="C89" s="25"/>
      <c r="D89" s="25"/>
      <c r="E89" s="53"/>
      <c r="F89" s="50"/>
      <c r="G89" s="25"/>
      <c r="H89" s="25"/>
      <c r="I89" s="65"/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3"/>
        <v>0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/>
      <c r="C90" s="25"/>
      <c r="D90" s="25"/>
      <c r="E90" s="53"/>
      <c r="F90" s="50"/>
      <c r="G90" s="35"/>
      <c r="H90" s="35"/>
      <c r="I90" s="53"/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3"/>
        <v>0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/>
      <c r="C91" s="25"/>
      <c r="D91" s="25"/>
      <c r="E91" s="53"/>
      <c r="F91" s="50"/>
      <c r="G91" s="35"/>
      <c r="H91" s="35"/>
      <c r="I91" s="53"/>
      <c r="J91" s="66"/>
      <c r="K91" s="66"/>
      <c r="L91" s="66"/>
      <c r="M91" s="66"/>
      <c r="N91" s="66"/>
      <c r="O91" s="66"/>
      <c r="P91" s="66"/>
      <c r="Q91" s="66"/>
      <c r="R91" s="25"/>
      <c r="S91" s="36"/>
      <c r="T91" s="53">
        <f t="shared" si="3"/>
        <v>0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/>
      <c r="C92" s="25"/>
      <c r="D92" s="25"/>
      <c r="E92" s="53"/>
      <c r="F92" s="50"/>
      <c r="G92" s="35"/>
      <c r="H92" s="35"/>
      <c r="I92" s="53"/>
      <c r="J92" s="66"/>
      <c r="K92" s="66"/>
      <c r="L92" s="66"/>
      <c r="M92" s="66"/>
      <c r="N92" s="66"/>
      <c r="O92" s="66"/>
      <c r="P92" s="66"/>
      <c r="Q92" s="66"/>
      <c r="R92" s="25"/>
      <c r="S92" s="36"/>
      <c r="T92" s="53">
        <f t="shared" si="3"/>
        <v>0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/>
      <c r="C93" s="25"/>
      <c r="D93" s="25"/>
      <c r="E93" s="53"/>
      <c r="F93" s="50"/>
      <c r="G93" s="35"/>
      <c r="H93" s="35"/>
      <c r="I93" s="53"/>
      <c r="J93" s="66"/>
      <c r="K93" s="66"/>
      <c r="L93" s="66"/>
      <c r="M93" s="66"/>
      <c r="N93" s="66"/>
      <c r="O93" s="66"/>
      <c r="P93" s="66"/>
      <c r="Q93" s="66"/>
      <c r="R93" s="25"/>
      <c r="S93" s="36"/>
      <c r="T93" s="53">
        <f t="shared" si="3"/>
        <v>0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/>
      <c r="C94" s="25"/>
      <c r="D94" s="25"/>
      <c r="E94" s="53"/>
      <c r="F94" s="50"/>
      <c r="G94" s="35"/>
      <c r="H94" s="35"/>
      <c r="I94" s="53"/>
      <c r="J94" s="66"/>
      <c r="K94" s="67"/>
      <c r="L94" s="66"/>
      <c r="M94" s="66"/>
      <c r="N94" s="66"/>
      <c r="O94" s="66"/>
      <c r="P94" s="66"/>
      <c r="Q94" s="66"/>
      <c r="R94" s="25"/>
      <c r="S94" s="36"/>
      <c r="T94" s="53">
        <f t="shared" si="3"/>
        <v>0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/>
      <c r="C95" s="25"/>
      <c r="D95" s="25"/>
      <c r="E95" s="53"/>
      <c r="F95" s="50"/>
      <c r="G95" s="35"/>
      <c r="H95" s="35"/>
      <c r="I95" s="53"/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3"/>
        <v>0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/>
      <c r="C96" s="25"/>
      <c r="D96" s="25"/>
      <c r="E96" s="53"/>
      <c r="F96" s="50"/>
      <c r="G96" s="35"/>
      <c r="H96" s="35"/>
      <c r="I96" s="53"/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3"/>
        <v>0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/>
      <c r="C97" s="25"/>
      <c r="D97" s="25"/>
      <c r="E97" s="53"/>
      <c r="F97" s="50"/>
      <c r="G97" s="35"/>
      <c r="H97" s="25"/>
      <c r="I97" s="53"/>
      <c r="J97" s="66"/>
      <c r="K97" s="66"/>
      <c r="L97" s="66"/>
      <c r="M97" s="66"/>
      <c r="N97" s="66"/>
      <c r="O97" s="66"/>
      <c r="P97" s="66"/>
      <c r="Q97" s="67"/>
      <c r="R97" s="25"/>
      <c r="S97" s="36"/>
      <c r="T97" s="53">
        <f t="shared" si="3"/>
        <v>0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/>
      <c r="C98" s="25"/>
      <c r="D98" s="25"/>
      <c r="E98" s="53"/>
      <c r="F98" s="50"/>
      <c r="G98" s="25"/>
      <c r="H98" s="25"/>
      <c r="I98" s="65"/>
      <c r="J98" s="66"/>
      <c r="K98" s="66"/>
      <c r="L98" s="66"/>
      <c r="M98" s="66"/>
      <c r="N98" s="66"/>
      <c r="O98" s="66"/>
      <c r="P98" s="66"/>
      <c r="Q98" s="66"/>
      <c r="R98" s="25"/>
      <c r="S98" s="36"/>
      <c r="T98" s="53">
        <f t="shared" si="3"/>
        <v>0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/>
      <c r="C99" s="25"/>
      <c r="D99" s="25"/>
      <c r="E99" s="53"/>
      <c r="F99" s="50"/>
      <c r="G99" s="35"/>
      <c r="H99" s="35"/>
      <c r="I99" s="53"/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3"/>
        <v>0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/>
      <c r="C100" s="25"/>
      <c r="D100" s="25"/>
      <c r="E100" s="53"/>
      <c r="F100" s="50"/>
      <c r="G100" s="35"/>
      <c r="H100" s="35"/>
      <c r="I100" s="53"/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si="3"/>
        <v>0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/>
      <c r="C101" s="25"/>
      <c r="D101" s="25"/>
      <c r="E101" s="53"/>
      <c r="F101" s="50"/>
      <c r="G101" s="35"/>
      <c r="H101" s="35"/>
      <c r="I101" s="53"/>
      <c r="J101" s="66"/>
      <c r="K101" s="66"/>
      <c r="L101" s="66"/>
      <c r="M101" s="66"/>
      <c r="N101" s="66"/>
      <c r="O101" s="66"/>
      <c r="P101" s="66"/>
      <c r="Q101" s="66"/>
      <c r="R101" s="25"/>
      <c r="S101" s="36"/>
      <c r="T101" s="53">
        <f t="shared" si="3"/>
        <v>0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/>
      <c r="C102" s="25"/>
      <c r="D102" s="25"/>
      <c r="E102" s="53"/>
      <c r="F102" s="50"/>
      <c r="G102" s="35"/>
      <c r="H102" s="35"/>
      <c r="I102" s="53"/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si="3"/>
        <v>0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/>
      <c r="C103" s="25"/>
      <c r="D103" s="25"/>
      <c r="E103" s="53"/>
      <c r="F103" s="50"/>
      <c r="G103" s="35"/>
      <c r="H103" s="35"/>
      <c r="I103" s="53"/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3"/>
        <v>0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/>
      <c r="C104" s="25"/>
      <c r="D104" s="25"/>
      <c r="E104" s="53"/>
      <c r="F104" s="50"/>
      <c r="G104" s="35"/>
      <c r="H104" s="53"/>
      <c r="I104" s="53"/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3"/>
        <v>0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/>
      <c r="C105" s="25"/>
      <c r="D105" s="25"/>
      <c r="E105" s="53"/>
      <c r="F105" s="50"/>
      <c r="G105" s="35"/>
      <c r="H105" s="35"/>
      <c r="I105" s="65"/>
      <c r="J105" s="66"/>
      <c r="K105" s="66"/>
      <c r="L105" s="66"/>
      <c r="M105" s="67"/>
      <c r="N105" s="66"/>
      <c r="O105" s="66"/>
      <c r="P105" s="66"/>
      <c r="Q105" s="66"/>
      <c r="R105" s="25"/>
      <c r="S105" s="36"/>
      <c r="T105" s="53">
        <f t="shared" si="3"/>
        <v>0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/>
      <c r="C106" s="25"/>
      <c r="D106" s="25"/>
      <c r="E106" s="53"/>
      <c r="F106" s="50"/>
      <c r="G106" s="35"/>
      <c r="H106" s="35"/>
      <c r="I106" s="65"/>
      <c r="J106" s="66"/>
      <c r="K106" s="66"/>
      <c r="L106" s="66"/>
      <c r="M106" s="66"/>
      <c r="N106" s="66"/>
      <c r="O106" s="66"/>
      <c r="P106" s="66"/>
      <c r="Q106" s="66"/>
      <c r="R106" s="25"/>
      <c r="S106" s="36"/>
      <c r="T106" s="53">
        <f t="shared" si="3"/>
        <v>0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/>
      <c r="C107" s="25"/>
      <c r="D107" s="25"/>
      <c r="E107" s="53"/>
      <c r="F107" s="50"/>
      <c r="G107" s="25"/>
      <c r="H107" s="25"/>
      <c r="I107" s="65"/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3"/>
        <v>0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/>
      <c r="C108" s="25"/>
      <c r="D108" s="25"/>
      <c r="E108" s="53"/>
      <c r="F108" s="50"/>
      <c r="G108" s="35"/>
      <c r="H108" s="35"/>
      <c r="I108" s="53"/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3"/>
        <v>0</v>
      </c>
      <c r="U108" s="42"/>
      <c r="V108" s="42"/>
      <c r="W108" s="42"/>
      <c r="X108" s="42"/>
      <c r="Y108" s="42"/>
    </row>
    <row r="109" ht="15.75" customHeight="1" spans="1:25" x14ac:dyDescent="0.25">
      <c r="A109" s="25"/>
      <c r="B109" s="35"/>
      <c r="C109" s="25"/>
      <c r="D109" s="25"/>
      <c r="E109" s="53"/>
      <c r="F109" s="50"/>
      <c r="G109" s="35"/>
      <c r="H109" s="35"/>
      <c r="I109" s="53"/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3"/>
        <v>0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/>
      <c r="C110" s="25"/>
      <c r="D110" s="25"/>
      <c r="E110" s="53"/>
      <c r="F110" s="50"/>
      <c r="G110" s="35"/>
      <c r="H110" s="35"/>
      <c r="I110" s="53"/>
      <c r="J110" s="66"/>
      <c r="K110" s="66"/>
      <c r="L110" s="66"/>
      <c r="M110" s="66"/>
      <c r="N110" s="66"/>
      <c r="O110" s="66"/>
      <c r="P110" s="66"/>
      <c r="Q110" s="66"/>
      <c r="R110" s="25"/>
      <c r="S110" s="36"/>
      <c r="T110" s="53">
        <f t="shared" si="3"/>
        <v>0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/>
      <c r="C111" s="25"/>
      <c r="D111" s="25"/>
      <c r="E111" s="53"/>
      <c r="F111" s="50"/>
      <c r="G111" s="35"/>
      <c r="H111" s="35"/>
      <c r="I111" s="53"/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3"/>
        <v>0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/>
      <c r="C112" s="25"/>
      <c r="D112" s="25"/>
      <c r="E112" s="53"/>
      <c r="F112" s="68"/>
      <c r="G112" s="35"/>
      <c r="H112" s="35"/>
      <c r="I112" s="53"/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>T111-E112+100000</f>
        <v>100000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/>
      <c r="C113" s="25"/>
      <c r="D113" s="25"/>
      <c r="E113" s="53"/>
      <c r="F113" s="50"/>
      <c r="G113" s="35"/>
      <c r="H113" s="35"/>
      <c r="I113" s="53"/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 t="shared" ref="T113:T176" si="4">T112-E113</f>
        <v>100000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/>
      <c r="C114" s="25"/>
      <c r="D114" s="25"/>
      <c r="E114" s="53"/>
      <c r="F114" s="50"/>
      <c r="G114" s="25"/>
      <c r="H114" s="25"/>
      <c r="I114" s="65"/>
      <c r="J114" s="66"/>
      <c r="K114" s="66"/>
      <c r="L114" s="66"/>
      <c r="M114" s="67"/>
      <c r="N114" s="66"/>
      <c r="O114" s="66"/>
      <c r="P114" s="66"/>
      <c r="Q114" s="66"/>
      <c r="R114" s="25"/>
      <c r="S114" s="36"/>
      <c r="T114" s="53">
        <f t="shared" si="4"/>
        <v>100000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/>
      <c r="C115" s="25"/>
      <c r="D115" s="25"/>
      <c r="E115" s="53"/>
      <c r="F115" s="50"/>
      <c r="G115" s="35"/>
      <c r="H115" s="35"/>
      <c r="I115" s="53"/>
      <c r="J115" s="66"/>
      <c r="K115" s="66"/>
      <c r="L115" s="66"/>
      <c r="M115" s="66"/>
      <c r="N115" s="66"/>
      <c r="O115" s="66"/>
      <c r="P115" s="67"/>
      <c r="Q115" s="66"/>
      <c r="R115" s="25"/>
      <c r="S115" s="36"/>
      <c r="T115" s="53">
        <f t="shared" si="4"/>
        <v>100000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/>
      <c r="C116" s="25"/>
      <c r="D116" s="25"/>
      <c r="E116" s="53"/>
      <c r="F116" s="50"/>
      <c r="G116" s="35"/>
      <c r="H116" s="35"/>
      <c r="I116" s="53"/>
      <c r="J116" s="66"/>
      <c r="K116" s="66"/>
      <c r="L116" s="66"/>
      <c r="M116" s="66"/>
      <c r="N116" s="66"/>
      <c r="O116" s="66"/>
      <c r="P116" s="66"/>
      <c r="Q116" s="66"/>
      <c r="R116" s="25"/>
      <c r="S116" s="55"/>
      <c r="T116" s="53">
        <f t="shared" si="4"/>
        <v>100000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/>
      <c r="C117" s="25"/>
      <c r="D117" s="25"/>
      <c r="E117" s="53"/>
      <c r="F117" s="50"/>
      <c r="G117" s="25"/>
      <c r="H117" s="25"/>
      <c r="I117" s="65"/>
      <c r="J117" s="66"/>
      <c r="K117" s="66"/>
      <c r="L117" s="67"/>
      <c r="M117" s="66"/>
      <c r="N117" s="66"/>
      <c r="O117" s="66"/>
      <c r="P117" s="66"/>
      <c r="Q117" s="66"/>
      <c r="R117" s="25"/>
      <c r="S117" s="55"/>
      <c r="T117" s="53">
        <f t="shared" si="4"/>
        <v>100000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/>
      <c r="C118" s="25"/>
      <c r="D118" s="25"/>
      <c r="E118" s="53"/>
      <c r="F118" s="50"/>
      <c r="G118" s="25"/>
      <c r="H118" s="25"/>
      <c r="I118" s="65"/>
      <c r="J118" s="66"/>
      <c r="K118" s="66"/>
      <c r="L118" s="66"/>
      <c r="M118" s="67"/>
      <c r="N118" s="66"/>
      <c r="O118" s="66"/>
      <c r="P118" s="66"/>
      <c r="Q118" s="66"/>
      <c r="R118" s="25"/>
      <c r="S118" s="55"/>
      <c r="T118" s="53">
        <f t="shared" si="4"/>
        <v>100000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/>
      <c r="C119" s="25"/>
      <c r="D119" s="25"/>
      <c r="E119" s="53"/>
      <c r="F119" s="50"/>
      <c r="G119" s="25"/>
      <c r="H119" s="25"/>
      <c r="I119" s="65"/>
      <c r="J119" s="66"/>
      <c r="K119" s="66"/>
      <c r="L119" s="66"/>
      <c r="M119" s="66"/>
      <c r="N119" s="66"/>
      <c r="O119" s="66"/>
      <c r="P119" s="67"/>
      <c r="Q119" s="66"/>
      <c r="R119" s="25"/>
      <c r="S119" s="55"/>
      <c r="T119" s="53">
        <f t="shared" si="4"/>
        <v>100000</v>
      </c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/>
      <c r="C120" s="25"/>
      <c r="D120" s="25"/>
      <c r="E120" s="53"/>
      <c r="F120" s="50"/>
      <c r="G120" s="35"/>
      <c r="H120" s="25"/>
      <c r="I120" s="65"/>
      <c r="J120" s="66"/>
      <c r="K120" s="66"/>
      <c r="L120" s="66"/>
      <c r="M120" s="66"/>
      <c r="N120" s="66"/>
      <c r="O120" s="66"/>
      <c r="P120" s="67"/>
      <c r="Q120" s="66"/>
      <c r="R120" s="25"/>
      <c r="S120" s="55"/>
      <c r="T120" s="53">
        <f t="shared" si="4"/>
        <v>100000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/>
      <c r="C121" s="25"/>
      <c r="D121" s="25"/>
      <c r="E121" s="53"/>
      <c r="F121" s="50"/>
      <c r="G121" s="35"/>
      <c r="H121" s="25"/>
      <c r="I121" s="65"/>
      <c r="J121" s="66"/>
      <c r="K121" s="66"/>
      <c r="L121" s="66"/>
      <c r="M121" s="66"/>
      <c r="N121" s="66"/>
      <c r="O121" s="66"/>
      <c r="P121" s="66"/>
      <c r="Q121" s="67"/>
      <c r="R121" s="25"/>
      <c r="S121" s="55"/>
      <c r="T121" s="53">
        <f t="shared" si="4"/>
        <v>100000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/>
      <c r="C122" s="25"/>
      <c r="D122" s="25"/>
      <c r="E122" s="53"/>
      <c r="F122" s="50"/>
      <c r="G122" s="35"/>
      <c r="H122" s="25"/>
      <c r="I122" s="65"/>
      <c r="J122" s="66"/>
      <c r="K122" s="66"/>
      <c r="L122" s="66"/>
      <c r="M122" s="66"/>
      <c r="N122" s="66"/>
      <c r="O122" s="66"/>
      <c r="P122" s="67"/>
      <c r="Q122" s="66"/>
      <c r="R122" s="25"/>
      <c r="S122" s="55"/>
      <c r="T122" s="53">
        <f t="shared" si="4"/>
        <v>100000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/>
      <c r="C123" s="25"/>
      <c r="D123" s="25"/>
      <c r="E123" s="53"/>
      <c r="F123" s="50"/>
      <c r="G123" s="35"/>
      <c r="H123" s="25"/>
      <c r="I123" s="65"/>
      <c r="J123" s="66"/>
      <c r="K123" s="66"/>
      <c r="L123" s="66"/>
      <c r="M123" s="66"/>
      <c r="N123" s="66"/>
      <c r="O123" s="66"/>
      <c r="P123" s="66"/>
      <c r="Q123" s="66"/>
      <c r="R123" s="25"/>
      <c r="S123" s="36"/>
      <c r="T123" s="53">
        <f t="shared" si="4"/>
        <v>100000</v>
      </c>
      <c r="U123" s="42"/>
      <c r="V123" s="42"/>
      <c r="W123" s="42"/>
      <c r="X123" s="42"/>
      <c r="Y123" s="42"/>
    </row>
    <row r="124" ht="15.75" customHeight="1" spans="1:25" x14ac:dyDescent="0.25">
      <c r="A124" s="25"/>
      <c r="B124" s="35"/>
      <c r="C124" s="25"/>
      <c r="D124" s="25"/>
      <c r="E124" s="53"/>
      <c r="F124" s="50"/>
      <c r="G124" s="35"/>
      <c r="H124" s="35"/>
      <c r="I124" s="53"/>
      <c r="J124" s="66"/>
      <c r="K124" s="66"/>
      <c r="L124" s="66"/>
      <c r="M124" s="66"/>
      <c r="N124" s="66"/>
      <c r="O124" s="66"/>
      <c r="P124" s="66"/>
      <c r="Q124" s="66"/>
      <c r="R124" s="25"/>
      <c r="S124" s="36"/>
      <c r="T124" s="53">
        <f t="shared" si="4"/>
        <v>100000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/>
      <c r="C125" s="25"/>
      <c r="D125" s="25"/>
      <c r="E125" s="53"/>
      <c r="F125" s="50"/>
      <c r="G125" s="25"/>
      <c r="H125" s="25"/>
      <c r="I125" s="65"/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4"/>
        <v>100000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/>
      <c r="C126" s="25"/>
      <c r="D126" s="25"/>
      <c r="E126" s="53"/>
      <c r="F126" s="50"/>
      <c r="G126" s="25"/>
      <c r="H126" s="25"/>
      <c r="I126" s="65"/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4"/>
        <v>100000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/>
      <c r="C127" s="25"/>
      <c r="D127" s="25"/>
      <c r="E127" s="53"/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/>
      <c r="Q127" s="66"/>
      <c r="R127" s="25"/>
      <c r="S127" s="36"/>
      <c r="T127" s="53">
        <f t="shared" si="4"/>
        <v>100000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/>
      <c r="C128" s="25"/>
      <c r="D128" s="25"/>
      <c r="E128" s="53"/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/>
      <c r="Q128" s="66"/>
      <c r="R128" s="25"/>
      <c r="S128" s="36"/>
      <c r="T128" s="53">
        <f t="shared" si="4"/>
        <v>100000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/>
      <c r="C129" s="25"/>
      <c r="D129" s="25"/>
      <c r="E129" s="53"/>
      <c r="F129" s="50"/>
      <c r="G129" s="35"/>
      <c r="H129" s="35"/>
      <c r="I129" s="53"/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4"/>
        <v>100000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/>
      <c r="C130" s="25"/>
      <c r="D130" s="25"/>
      <c r="E130" s="53"/>
      <c r="F130" s="50"/>
      <c r="G130" s="35"/>
      <c r="H130" s="35"/>
      <c r="I130" s="53"/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 t="shared" si="4"/>
        <v>100000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/>
      <c r="C131" s="25"/>
      <c r="D131" s="25"/>
      <c r="E131" s="53"/>
      <c r="F131" s="50"/>
      <c r="G131" s="35"/>
      <c r="H131" s="35"/>
      <c r="I131" s="53"/>
      <c r="J131" s="66"/>
      <c r="K131" s="66"/>
      <c r="L131" s="66"/>
      <c r="M131" s="66"/>
      <c r="N131" s="66"/>
      <c r="O131" s="66"/>
      <c r="P131" s="67"/>
      <c r="Q131" s="66"/>
      <c r="R131" s="25"/>
      <c r="S131" s="36"/>
      <c r="T131" s="53">
        <f t="shared" si="4"/>
        <v>100000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/>
      <c r="C132" s="25"/>
      <c r="D132" s="25"/>
      <c r="E132" s="53"/>
      <c r="F132" s="50"/>
      <c r="G132" s="35"/>
      <c r="H132" s="35"/>
      <c r="I132" s="53"/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4"/>
        <v>100000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/>
      <c r="C133" s="25"/>
      <c r="D133" s="25"/>
      <c r="E133" s="53"/>
      <c r="F133" s="50"/>
      <c r="G133" s="35"/>
      <c r="H133" s="25"/>
      <c r="I133" s="65"/>
      <c r="J133" s="66"/>
      <c r="K133" s="66"/>
      <c r="L133" s="66"/>
      <c r="M133" s="67"/>
      <c r="N133" s="66"/>
      <c r="O133" s="66"/>
      <c r="P133" s="66"/>
      <c r="Q133" s="66"/>
      <c r="R133" s="25"/>
      <c r="S133" s="36"/>
      <c r="T133" s="53">
        <f t="shared" si="4"/>
        <v>100000</v>
      </c>
      <c r="U133" s="42"/>
      <c r="V133" s="42"/>
      <c r="W133" s="42"/>
      <c r="X133" s="42"/>
      <c r="Y133" s="42"/>
    </row>
    <row r="134" ht="15.75" customHeight="1" spans="1:25" x14ac:dyDescent="0.25">
      <c r="A134" s="26"/>
      <c r="B134" s="29"/>
      <c r="C134" s="26"/>
      <c r="D134" s="26"/>
      <c r="E134" s="56"/>
      <c r="F134" s="57"/>
      <c r="G134" s="29"/>
      <c r="H134" s="25"/>
      <c r="I134" s="65"/>
      <c r="J134" s="66"/>
      <c r="K134" s="67"/>
      <c r="L134" s="66"/>
      <c r="M134" s="66"/>
      <c r="N134" s="66"/>
      <c r="O134" s="66"/>
      <c r="P134" s="66"/>
      <c r="Q134" s="66"/>
      <c r="R134" s="25"/>
      <c r="S134" s="36"/>
      <c r="T134" s="53">
        <f t="shared" si="4"/>
        <v>100000</v>
      </c>
      <c r="U134" s="42"/>
      <c r="V134" s="42"/>
      <c r="W134" s="42"/>
      <c r="X134" s="42"/>
      <c r="Y134" s="42"/>
    </row>
    <row r="135" ht="15.75" customHeight="1" spans="1:25" x14ac:dyDescent="0.25">
      <c r="A135" s="26"/>
      <c r="B135" s="29"/>
      <c r="C135" s="26"/>
      <c r="D135" s="26"/>
      <c r="E135" s="56"/>
      <c r="F135" s="57"/>
      <c r="G135" s="26"/>
      <c r="H135" s="25"/>
      <c r="I135" s="65"/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si="4"/>
        <v>100000</v>
      </c>
      <c r="U135" s="42"/>
      <c r="V135" s="42"/>
      <c r="W135" s="42"/>
      <c r="X135" s="42"/>
      <c r="Y135" s="42"/>
    </row>
    <row r="136" ht="15.75" customHeight="1" spans="1:25" x14ac:dyDescent="0.25">
      <c r="A136" s="26"/>
      <c r="B136" s="29"/>
      <c r="C136" s="26"/>
      <c r="D136" s="26"/>
      <c r="E136" s="56"/>
      <c r="F136" s="57"/>
      <c r="G136" s="26"/>
      <c r="H136" s="25"/>
      <c r="I136" s="65"/>
      <c r="J136" s="66"/>
      <c r="K136" s="66"/>
      <c r="L136" s="66"/>
      <c r="M136" s="66"/>
      <c r="N136" s="66"/>
      <c r="O136" s="66"/>
      <c r="P136" s="66"/>
      <c r="Q136" s="66"/>
      <c r="R136" s="35"/>
      <c r="S136" s="36"/>
      <c r="T136" s="53">
        <f t="shared" si="4"/>
        <v>100000</v>
      </c>
      <c r="U136" s="42"/>
      <c r="V136" s="42"/>
      <c r="W136" s="42"/>
      <c r="X136" s="42"/>
      <c r="Y136" s="42"/>
    </row>
    <row r="137" ht="15.75" customHeight="1" spans="1:25" x14ac:dyDescent="0.25">
      <c r="A137" s="26"/>
      <c r="B137" s="29"/>
      <c r="C137" s="26"/>
      <c r="D137" s="26"/>
      <c r="E137" s="56"/>
      <c r="F137" s="57"/>
      <c r="G137" s="29"/>
      <c r="H137" s="25"/>
      <c r="I137" s="65"/>
      <c r="J137" s="66"/>
      <c r="K137" s="66"/>
      <c r="L137" s="66"/>
      <c r="M137" s="66"/>
      <c r="N137" s="66"/>
      <c r="O137" s="66"/>
      <c r="P137" s="66"/>
      <c r="Q137" s="66"/>
      <c r="R137" s="25"/>
      <c r="S137" s="36"/>
      <c r="T137" s="53">
        <f t="shared" si="4"/>
        <v>100000</v>
      </c>
      <c r="U137" s="42"/>
      <c r="V137" s="42"/>
      <c r="W137" s="42"/>
      <c r="X137" s="42"/>
      <c r="Y137" s="42"/>
    </row>
    <row r="138" ht="15.75" customHeight="1" spans="1:25" x14ac:dyDescent="0.25">
      <c r="A138" s="26"/>
      <c r="B138" s="29"/>
      <c r="C138" s="26"/>
      <c r="D138" s="26"/>
      <c r="E138" s="56"/>
      <c r="F138" s="57"/>
      <c r="G138" s="29"/>
      <c r="H138" s="25"/>
      <c r="I138" s="65"/>
      <c r="J138" s="66"/>
      <c r="K138" s="66"/>
      <c r="L138" s="66"/>
      <c r="M138" s="66"/>
      <c r="N138" s="66"/>
      <c r="O138" s="66"/>
      <c r="P138" s="66"/>
      <c r="Q138" s="66"/>
      <c r="R138" s="25"/>
      <c r="S138" s="36"/>
      <c r="T138" s="53">
        <f t="shared" si="4"/>
        <v>100000</v>
      </c>
      <c r="U138" s="42"/>
      <c r="V138" s="42"/>
      <c r="W138" s="42"/>
      <c r="X138" s="42"/>
      <c r="Y138" s="42"/>
    </row>
    <row r="139" ht="15.75" customHeight="1" spans="1:25" x14ac:dyDescent="0.25">
      <c r="A139" s="26"/>
      <c r="B139" s="29"/>
      <c r="C139" s="26"/>
      <c r="D139" s="26"/>
      <c r="E139" s="56"/>
      <c r="F139" s="57"/>
      <c r="G139" s="29"/>
      <c r="H139" s="25"/>
      <c r="I139" s="65"/>
      <c r="J139" s="66"/>
      <c r="K139" s="66"/>
      <c r="L139" s="66"/>
      <c r="M139" s="66"/>
      <c r="N139" s="66"/>
      <c r="O139" s="66"/>
      <c r="P139" s="67"/>
      <c r="Q139" s="66"/>
      <c r="R139" s="25"/>
      <c r="S139" s="36"/>
      <c r="T139" s="53">
        <f t="shared" si="4"/>
        <v>100000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/>
      <c r="C140" s="25"/>
      <c r="D140" s="25"/>
      <c r="E140" s="53"/>
      <c r="F140" s="50"/>
      <c r="G140" s="35"/>
      <c r="H140" s="35"/>
      <c r="I140" s="53"/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4"/>
        <v>100000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/>
      <c r="C141" s="25"/>
      <c r="D141" s="25"/>
      <c r="E141" s="53"/>
      <c r="F141" s="50"/>
      <c r="G141" s="35"/>
      <c r="H141" s="25"/>
      <c r="I141" s="65"/>
      <c r="J141" s="66"/>
      <c r="K141" s="66"/>
      <c r="L141" s="66"/>
      <c r="M141" s="67"/>
      <c r="N141" s="66"/>
      <c r="O141" s="66"/>
      <c r="P141" s="66"/>
      <c r="Q141" s="66"/>
      <c r="R141" s="25"/>
      <c r="S141" s="36"/>
      <c r="T141" s="53">
        <f t="shared" si="4"/>
        <v>100000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/>
      <c r="C142" s="25"/>
      <c r="D142" s="25"/>
      <c r="E142" s="53"/>
      <c r="F142" s="50"/>
      <c r="G142" s="35"/>
      <c r="H142" s="25"/>
      <c r="I142" s="65"/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4"/>
        <v>100000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/>
      <c r="C143" s="25"/>
      <c r="D143" s="25"/>
      <c r="E143" s="53"/>
      <c r="F143" s="50"/>
      <c r="G143" s="25"/>
      <c r="H143" s="25"/>
      <c r="I143" s="65"/>
      <c r="J143" s="66"/>
      <c r="K143" s="66"/>
      <c r="L143" s="66"/>
      <c r="M143" s="66"/>
      <c r="N143" s="66"/>
      <c r="O143" s="66"/>
      <c r="P143" s="66"/>
      <c r="Q143" s="67"/>
      <c r="R143" s="25"/>
      <c r="S143" s="36"/>
      <c r="T143" s="53">
        <f t="shared" si="4"/>
        <v>100000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/>
      <c r="C144" s="25"/>
      <c r="D144" s="25"/>
      <c r="E144" s="53"/>
      <c r="F144" s="68"/>
      <c r="G144" s="35"/>
      <c r="H144" s="35"/>
      <c r="I144" s="53"/>
      <c r="J144" s="66"/>
      <c r="K144" s="66"/>
      <c r="L144" s="66"/>
      <c r="M144" s="66"/>
      <c r="N144" s="66"/>
      <c r="O144" s="66"/>
      <c r="P144" s="66"/>
      <c r="Q144" s="66"/>
      <c r="R144" s="25"/>
      <c r="S144" s="36"/>
      <c r="T144" s="53">
        <f t="shared" si="4"/>
        <v>100000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/>
      <c r="C145" s="25"/>
      <c r="D145" s="25"/>
      <c r="E145" s="53"/>
      <c r="F145" s="50"/>
      <c r="G145" s="35"/>
      <c r="H145" s="35"/>
      <c r="I145" s="53"/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4"/>
        <v>100000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2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4"/>
        <v>100000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/>
      <c r="C147" s="25"/>
      <c r="D147" s="25"/>
      <c r="E147" s="53"/>
      <c r="F147" s="50"/>
      <c r="G147" s="25"/>
      <c r="H147" s="25"/>
      <c r="I147" s="65"/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4"/>
        <v>100000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/>
      <c r="D148" s="25"/>
      <c r="E148" s="53"/>
      <c r="F148" s="50"/>
      <c r="G148" s="3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>
        <f t="shared" si="4"/>
        <v>100000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35"/>
      <c r="H149" s="35"/>
      <c r="I149" s="53"/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si="4"/>
        <v>100000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68"/>
      <c r="G150" s="25"/>
      <c r="H150" s="25"/>
      <c r="I150" s="65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4"/>
        <v>100000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50"/>
      <c r="G151" s="3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 t="shared" si="4"/>
        <v>100000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4"/>
        <v>100000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4"/>
        <v>100000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4"/>
        <v>100000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4"/>
        <v>100000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7"/>
      <c r="K156" s="67"/>
      <c r="L156" s="67"/>
      <c r="M156" s="67"/>
      <c r="N156" s="67"/>
      <c r="O156" s="67"/>
      <c r="P156" s="67"/>
      <c r="Q156" s="67"/>
      <c r="R156" s="53"/>
      <c r="S156" s="36"/>
      <c r="T156" s="53">
        <f t="shared" si="4"/>
        <v>100000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25"/>
      <c r="H157" s="26"/>
      <c r="I157" s="70"/>
      <c r="J157" s="71"/>
      <c r="K157" s="71"/>
      <c r="L157" s="71"/>
      <c r="M157" s="71"/>
      <c r="N157" s="71"/>
      <c r="O157" s="71"/>
      <c r="P157" s="71"/>
      <c r="Q157" s="71"/>
      <c r="R157" s="26"/>
      <c r="S157" s="37"/>
      <c r="T157" s="56">
        <f t="shared" si="4"/>
        <v>100000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3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6">
        <f t="shared" si="4"/>
        <v>100000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6">
        <f t="shared" si="4"/>
        <v>100000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6">
        <f t="shared" si="4"/>
        <v>100000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3"/>
      <c r="D161" s="25"/>
      <c r="E161" s="53"/>
      <c r="F161" s="50"/>
      <c r="G161" s="2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6">
        <f t="shared" si="4"/>
        <v>100000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4"/>
        <v>100000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3"/>
      <c r="E163" s="54"/>
      <c r="F163" s="50"/>
      <c r="G163" s="3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4"/>
        <v>100000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4"/>
        <v>100000</v>
      </c>
      <c r="U164" s="42"/>
      <c r="V164" s="42"/>
      <c r="W164" s="42"/>
      <c r="X164" s="42"/>
      <c r="Y164" s="42"/>
    </row>
    <row r="165" ht="15.75" customHeight="1" spans="1:25" x14ac:dyDescent="0.25">
      <c r="A165" s="40"/>
      <c r="B165" s="35"/>
      <c r="C165" s="72"/>
      <c r="D165" s="40"/>
      <c r="E165" s="53"/>
      <c r="F165" s="50"/>
      <c r="G165" s="25"/>
      <c r="H165" s="25"/>
      <c r="I165" s="53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4"/>
        <v>100000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4"/>
        <v>100000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3"/>
      <c r="D167" s="72"/>
      <c r="E167" s="54"/>
      <c r="F167" s="50"/>
      <c r="G167" s="35"/>
      <c r="H167" s="3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4"/>
        <v>100000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2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4"/>
        <v>100000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40"/>
      <c r="E169" s="53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4"/>
        <v>100000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4"/>
        <v>100000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40"/>
      <c r="D171" s="72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4"/>
        <v>100000</v>
      </c>
      <c r="U171" s="42"/>
      <c r="V171" s="42"/>
      <c r="W171" s="42"/>
      <c r="X171" s="42"/>
      <c r="Y171" s="42"/>
    </row>
    <row r="172" ht="15.75" customHeight="1" spans="1:25" x14ac:dyDescent="0.25">
      <c r="A172" s="40"/>
      <c r="B172" s="35"/>
      <c r="C172" s="40"/>
      <c r="D172" s="40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4"/>
        <v>100000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40"/>
      <c r="D173" s="72"/>
      <c r="E173" s="54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4"/>
        <v>100000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3"/>
      <c r="D174" s="23"/>
      <c r="E174" s="54"/>
      <c r="F174" s="50"/>
      <c r="G174" s="26"/>
      <c r="H174" s="26"/>
      <c r="I174" s="70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4"/>
        <v>100000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5"/>
      <c r="E175" s="53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4"/>
        <v>100000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4"/>
        <v>100000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68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>T176-E177+16000</f>
        <v>116000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7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 t="shared" ref="T178:T179" si="5">T177-E178</f>
        <v>116000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si="5"/>
        <v>116000</v>
      </c>
      <c r="U179" s="42"/>
      <c r="V179" s="42"/>
      <c r="W179" s="42"/>
      <c r="X179" s="42"/>
      <c r="Y179" s="42"/>
    </row>
    <row r="180" ht="15.75" customHeight="1" spans="1:25" x14ac:dyDescent="0.25">
      <c r="A180" s="40"/>
      <c r="B180" s="25"/>
      <c r="C180" s="40"/>
      <c r="D180" s="25"/>
      <c r="E180" s="53"/>
      <c r="F180" s="68"/>
      <c r="G180" s="35"/>
      <c r="H180" s="35"/>
      <c r="I180" s="53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>T179-E180+120000</f>
        <v>236000</v>
      </c>
      <c r="U180" s="42"/>
      <c r="V180" s="42"/>
      <c r="W180" s="42"/>
      <c r="X180" s="42"/>
      <c r="Y180" s="42"/>
    </row>
    <row r="181" ht="15.75" customHeight="1" spans="1:25" x14ac:dyDescent="0.25">
      <c r="A181" s="26"/>
      <c r="B181" s="29"/>
      <c r="C181" s="38"/>
      <c r="D181" s="38"/>
      <c r="E181" s="56"/>
      <c r="F181" s="57"/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 t="shared" ref="T181:T213" si="6">T180-E181</f>
        <v>236000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si="6"/>
        <v>236000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56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6"/>
        <v>236000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70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6"/>
        <v>236000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56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6"/>
        <v>236000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6"/>
        <v>236000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6"/>
        <v>236000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9"/>
      <c r="H188" s="29"/>
      <c r="I188" s="56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6"/>
        <v>236000</v>
      </c>
      <c r="U188" s="42"/>
      <c r="V188" s="42"/>
      <c r="W188" s="42"/>
      <c r="X188" s="42"/>
      <c r="Y188" s="42"/>
    </row>
    <row r="189" ht="15.75" customHeight="1" spans="1:25" x14ac:dyDescent="0.25">
      <c r="A189" s="40"/>
      <c r="B189" s="35"/>
      <c r="C189" s="40"/>
      <c r="D189" s="40"/>
      <c r="E189" s="53"/>
      <c r="F189" s="50"/>
      <c r="G189" s="25"/>
      <c r="H189" s="25"/>
      <c r="I189" s="65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6"/>
        <v>236000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53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6"/>
        <v>236000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6"/>
        <v>236000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6"/>
        <v>236000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6"/>
        <v>236000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6"/>
        <v>236000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6"/>
        <v>236000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6"/>
        <v>236000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6"/>
        <v>236000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6"/>
        <v>236000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6"/>
        <v>236000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6"/>
        <v>236000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6"/>
        <v>236000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6"/>
        <v>236000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6"/>
        <v>236000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6"/>
        <v>236000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6"/>
        <v>236000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6"/>
        <v>236000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6"/>
        <v>236000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6"/>
        <v>236000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6"/>
        <v>236000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6"/>
        <v>236000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6"/>
        <v>236000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6"/>
        <v>236000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6"/>
        <v>236000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>T213-E214+75000</f>
        <v>311000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ref="T215:T226" si="7">T214-E215</f>
        <v>311000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7"/>
        <v>311000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7"/>
        <v>311000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7"/>
        <v>311000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7"/>
        <v>311000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7"/>
        <v>311000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7"/>
        <v>311000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7"/>
        <v>311000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7"/>
        <v>311000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7"/>
        <v>311000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7"/>
        <v>311000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7"/>
        <v>311000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422000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8">T227-E228</f>
        <v>422000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8"/>
        <v>422000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8"/>
        <v>422000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8"/>
        <v>422000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8"/>
        <v>422000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8"/>
        <v>422000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8"/>
        <v>422000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8"/>
        <v>422000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8"/>
        <v>422000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8"/>
        <v>422000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8"/>
        <v>422000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8"/>
        <v>422000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8"/>
        <v>422000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8"/>
        <v>422000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8"/>
        <v>422000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8"/>
        <v>422000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8"/>
        <v>422000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8"/>
        <v>422000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8"/>
        <v>422000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8"/>
        <v>422000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8"/>
        <v>422000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8"/>
        <v>422000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8"/>
        <v>422000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8"/>
        <v>422000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8"/>
        <v>422000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8"/>
        <v>422000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8"/>
        <v>422000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8"/>
        <v>422000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8"/>
        <v>422000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8"/>
        <v>422000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467000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9">T258-E259</f>
        <v>467000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9"/>
        <v>467000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9"/>
        <v>467000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4.4414062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5" max="15" width="10.21875" customWidth="1"/>
    <col min="17" max="17" width="10.44140625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6" x14ac:dyDescent="0.25">
      <c r="A2" s="9"/>
      <c r="B2" s="9"/>
      <c r="C2" s="9"/>
      <c r="D2" s="9"/>
      <c r="E2" s="9"/>
      <c r="F2" s="81"/>
      <c r="G2" s="82" t="s">
        <v>16</v>
      </c>
      <c r="H2" s="82" t="s">
        <v>17</v>
      </c>
      <c r="I2" s="83" t="s">
        <v>18</v>
      </c>
      <c r="J2" s="9"/>
      <c r="K2" s="9"/>
      <c r="L2" s="9"/>
      <c r="M2" s="9"/>
      <c r="N2" s="9"/>
      <c r="O2" s="9"/>
      <c r="P2" s="9"/>
      <c r="Q2" s="9"/>
      <c r="R2" s="9"/>
      <c r="S2" s="84"/>
      <c r="T2" s="9"/>
      <c r="U2" s="85"/>
      <c r="V2" s="85"/>
      <c r="W2" s="85"/>
      <c r="X2" s="85"/>
      <c r="Y2" s="85"/>
      <c r="Z2" s="86"/>
    </row>
    <row r="3" ht="15.75" customHeight="1" spans="1:25" x14ac:dyDescent="0.25">
      <c r="A3" s="25" t="s">
        <v>920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93157</v>
      </c>
      <c r="U3" s="42"/>
      <c r="V3" s="42"/>
      <c r="W3" s="42"/>
      <c r="X3" s="42"/>
      <c r="Y3" s="42"/>
    </row>
    <row r="4" ht="15.75" customHeight="1" spans="1:25" x14ac:dyDescent="0.25">
      <c r="A4" s="25"/>
      <c r="B4" s="35">
        <v>867</v>
      </c>
      <c r="C4" s="25" t="s">
        <v>921</v>
      </c>
      <c r="D4" s="25" t="s">
        <v>557</v>
      </c>
      <c r="E4" s="53">
        <v>2475</v>
      </c>
      <c r="F4" s="50"/>
      <c r="G4" s="35"/>
      <c r="H4" s="35"/>
      <c r="I4" s="53"/>
      <c r="J4" s="66"/>
      <c r="K4" s="66"/>
      <c r="L4" s="66"/>
      <c r="M4" s="66"/>
      <c r="N4" s="66"/>
      <c r="O4" s="66"/>
      <c r="P4" s="66"/>
      <c r="Q4" s="66"/>
      <c r="R4" s="25">
        <v>2475</v>
      </c>
      <c r="S4" s="36"/>
      <c r="T4" s="53">
        <f t="shared" ref="T4:T14" si="0">T3-E4</f>
        <v>90682</v>
      </c>
      <c r="U4" s="42"/>
      <c r="V4" s="42"/>
      <c r="W4" s="42"/>
      <c r="X4" s="42"/>
      <c r="Y4" s="42"/>
    </row>
    <row r="5" ht="15.75" customHeight="1" spans="1:25" x14ac:dyDescent="0.25">
      <c r="A5" s="25"/>
      <c r="B5" s="35">
        <v>868</v>
      </c>
      <c r="C5" s="25" t="s">
        <v>922</v>
      </c>
      <c r="D5" s="25" t="s">
        <v>358</v>
      </c>
      <c r="E5" s="53">
        <v>1470</v>
      </c>
      <c r="F5" s="50"/>
      <c r="G5" s="35"/>
      <c r="H5" s="35"/>
      <c r="I5" s="53"/>
      <c r="J5" s="66"/>
      <c r="K5" s="66"/>
      <c r="L5" s="66"/>
      <c r="M5" s="66"/>
      <c r="N5" s="66"/>
      <c r="O5" s="66"/>
      <c r="P5" s="66">
        <v>1470</v>
      </c>
      <c r="Q5" s="66"/>
      <c r="R5" s="25"/>
      <c r="S5" s="36"/>
      <c r="T5" s="53">
        <f t="shared" si="0"/>
        <v>89212</v>
      </c>
      <c r="U5" s="42"/>
      <c r="V5" s="42"/>
      <c r="W5" s="42"/>
      <c r="X5" s="42"/>
      <c r="Y5" s="42"/>
    </row>
    <row r="6" ht="15.75" customHeight="1" spans="1:25" x14ac:dyDescent="0.25">
      <c r="A6" s="25" t="s">
        <v>923</v>
      </c>
      <c r="B6" s="35">
        <v>869</v>
      </c>
      <c r="C6" s="25" t="s">
        <v>859</v>
      </c>
      <c r="D6" s="25" t="s">
        <v>924</v>
      </c>
      <c r="E6" s="53">
        <v>41800</v>
      </c>
      <c r="F6" s="50"/>
      <c r="G6" s="35">
        <v>380</v>
      </c>
      <c r="H6" s="35">
        <v>110</v>
      </c>
      <c r="I6" s="53">
        <v>41800</v>
      </c>
      <c r="J6" s="66"/>
      <c r="K6" s="66"/>
      <c r="L6" s="66"/>
      <c r="M6" s="66"/>
      <c r="N6" s="66"/>
      <c r="O6" s="66"/>
      <c r="P6" s="66"/>
      <c r="Q6" s="66"/>
      <c r="R6" s="25"/>
      <c r="S6" s="36"/>
      <c r="T6" s="53">
        <f t="shared" si="0"/>
        <v>47412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870</v>
      </c>
      <c r="C7" s="25" t="s">
        <v>13</v>
      </c>
      <c r="D7" s="25" t="s">
        <v>636</v>
      </c>
      <c r="E7" s="53">
        <v>2500</v>
      </c>
      <c r="F7" s="50"/>
      <c r="G7" s="25"/>
      <c r="H7" s="25"/>
      <c r="I7" s="53"/>
      <c r="J7" s="66"/>
      <c r="K7" s="66"/>
      <c r="L7" s="66"/>
      <c r="M7" s="67"/>
      <c r="N7" s="66"/>
      <c r="O7" s="66"/>
      <c r="P7" s="66"/>
      <c r="Q7" s="66">
        <v>2500</v>
      </c>
      <c r="R7" s="25"/>
      <c r="S7" s="36"/>
      <c r="T7" s="53">
        <f t="shared" si="0"/>
        <v>44912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871</v>
      </c>
      <c r="C8" s="25" t="s">
        <v>925</v>
      </c>
      <c r="D8" s="25" t="s">
        <v>257</v>
      </c>
      <c r="E8" s="53">
        <v>400</v>
      </c>
      <c r="F8" s="50"/>
      <c r="G8" s="25"/>
      <c r="H8" s="25"/>
      <c r="I8" s="53"/>
      <c r="J8" s="66"/>
      <c r="K8" s="66"/>
      <c r="L8" s="66"/>
      <c r="M8" s="66"/>
      <c r="N8" s="66"/>
      <c r="O8" s="66"/>
      <c r="P8" s="67">
        <v>400</v>
      </c>
      <c r="Q8" s="66"/>
      <c r="R8" s="25"/>
      <c r="S8" s="36"/>
      <c r="T8" s="53">
        <f t="shared" si="0"/>
        <v>44512</v>
      </c>
      <c r="U8" s="42"/>
      <c r="V8" s="42"/>
      <c r="W8" s="42"/>
      <c r="X8" s="42"/>
      <c r="Y8" s="42"/>
    </row>
    <row r="9" ht="15.75" customHeight="1" spans="1:25" x14ac:dyDescent="0.25">
      <c r="A9" s="25" t="s">
        <v>926</v>
      </c>
      <c r="B9" s="35">
        <v>872</v>
      </c>
      <c r="C9" s="25" t="s">
        <v>927</v>
      </c>
      <c r="D9" s="25" t="s">
        <v>358</v>
      </c>
      <c r="E9" s="53">
        <v>10950</v>
      </c>
      <c r="F9" s="50"/>
      <c r="G9" s="35"/>
      <c r="H9" s="35"/>
      <c r="I9" s="53"/>
      <c r="J9" s="66"/>
      <c r="K9" s="66"/>
      <c r="L9" s="66"/>
      <c r="M9" s="66"/>
      <c r="N9" s="66"/>
      <c r="O9" s="66"/>
      <c r="P9" s="66">
        <v>10950</v>
      </c>
      <c r="Q9" s="66"/>
      <c r="R9" s="25"/>
      <c r="S9" s="36"/>
      <c r="T9" s="53">
        <f t="shared" si="0"/>
        <v>33562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873</v>
      </c>
      <c r="C10" s="25" t="s">
        <v>928</v>
      </c>
      <c r="D10" s="25" t="s">
        <v>673</v>
      </c>
      <c r="E10" s="53">
        <v>300</v>
      </c>
      <c r="F10" s="50"/>
      <c r="G10" s="35"/>
      <c r="H10" s="35"/>
      <c r="I10" s="53"/>
      <c r="J10" s="66"/>
      <c r="K10" s="66"/>
      <c r="L10" s="66"/>
      <c r="M10" s="66"/>
      <c r="N10" s="66"/>
      <c r="O10" s="66"/>
      <c r="P10" s="66">
        <v>300</v>
      </c>
      <c r="Q10" s="66"/>
      <c r="R10" s="25"/>
      <c r="S10" s="36"/>
      <c r="T10" s="53">
        <f t="shared" si="0"/>
        <v>33262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874</v>
      </c>
      <c r="C11" s="25" t="s">
        <v>929</v>
      </c>
      <c r="D11" s="25" t="s">
        <v>930</v>
      </c>
      <c r="E11" s="53">
        <v>3000</v>
      </c>
      <c r="F11" s="50"/>
      <c r="G11" s="25"/>
      <c r="H11" s="25"/>
      <c r="I11" s="53"/>
      <c r="J11" s="66"/>
      <c r="K11" s="66"/>
      <c r="L11" s="67"/>
      <c r="M11" s="66"/>
      <c r="N11" s="66"/>
      <c r="O11" s="66"/>
      <c r="P11" s="66">
        <v>3000</v>
      </c>
      <c r="Q11" s="66"/>
      <c r="R11" s="25"/>
      <c r="S11" s="36"/>
      <c r="T11" s="53">
        <f t="shared" si="0"/>
        <v>30262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875</v>
      </c>
      <c r="C12" s="25" t="s">
        <v>931</v>
      </c>
      <c r="D12" s="25" t="s">
        <v>119</v>
      </c>
      <c r="E12" s="53">
        <v>500</v>
      </c>
      <c r="F12" s="50"/>
      <c r="G12" s="35"/>
      <c r="H12" s="35"/>
      <c r="I12" s="53"/>
      <c r="J12" s="66"/>
      <c r="K12" s="66"/>
      <c r="L12" s="66"/>
      <c r="M12" s="66">
        <v>500</v>
      </c>
      <c r="N12" s="66"/>
      <c r="O12" s="66"/>
      <c r="P12" s="66"/>
      <c r="Q12" s="66"/>
      <c r="R12" s="25"/>
      <c r="S12" s="36"/>
      <c r="T12" s="53">
        <f t="shared" si="0"/>
        <v>29762</v>
      </c>
      <c r="U12" s="42"/>
      <c r="V12" s="42"/>
      <c r="W12" s="42"/>
      <c r="X12" s="42"/>
      <c r="Y12" s="42"/>
    </row>
    <row r="13" ht="15.75" customHeight="1" spans="1:25" x14ac:dyDescent="0.25">
      <c r="A13" s="25"/>
      <c r="B13" s="35">
        <v>876</v>
      </c>
      <c r="C13" s="25" t="s">
        <v>859</v>
      </c>
      <c r="D13" s="25" t="s">
        <v>924</v>
      </c>
      <c r="E13" s="53">
        <v>38610</v>
      </c>
      <c r="F13" s="50"/>
      <c r="G13" s="35">
        <v>351</v>
      </c>
      <c r="H13" s="35">
        <v>110</v>
      </c>
      <c r="I13" s="53">
        <v>38610</v>
      </c>
      <c r="J13" s="66"/>
      <c r="K13" s="66"/>
      <c r="L13" s="66"/>
      <c r="M13" s="66"/>
      <c r="N13" s="66"/>
      <c r="O13" s="66"/>
      <c r="P13" s="66"/>
      <c r="Q13" s="66"/>
      <c r="R13" s="25"/>
      <c r="S13" s="36"/>
      <c r="T13" s="53">
        <f t="shared" si="0"/>
        <v>-8848</v>
      </c>
      <c r="U13" s="42"/>
      <c r="V13" s="42"/>
      <c r="W13" s="42"/>
      <c r="X13" s="42"/>
      <c r="Y13" s="42"/>
    </row>
    <row r="14" ht="15.75" customHeight="1" spans="1:25" x14ac:dyDescent="0.25">
      <c r="A14" s="25" t="s">
        <v>932</v>
      </c>
      <c r="B14" s="35">
        <v>877</v>
      </c>
      <c r="C14" s="25" t="s">
        <v>859</v>
      </c>
      <c r="D14" s="25" t="s">
        <v>448</v>
      </c>
      <c r="E14" s="53">
        <v>1210</v>
      </c>
      <c r="F14" s="50"/>
      <c r="G14" s="35">
        <v>11</v>
      </c>
      <c r="H14" s="35">
        <v>110</v>
      </c>
      <c r="I14" s="53">
        <v>1210</v>
      </c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0"/>
        <v>-10058</v>
      </c>
      <c r="U14" s="42"/>
      <c r="V14" s="42"/>
      <c r="W14" s="42"/>
      <c r="X14" s="42"/>
      <c r="Y14" s="42"/>
    </row>
    <row r="15" ht="15.75" customHeight="1" spans="1:25" x14ac:dyDescent="0.25">
      <c r="A15" s="25" t="s">
        <v>933</v>
      </c>
      <c r="B15" s="35"/>
      <c r="C15" s="25" t="s">
        <v>934</v>
      </c>
      <c r="D15" s="25"/>
      <c r="E15" s="53"/>
      <c r="F15" s="68">
        <v>50000</v>
      </c>
      <c r="G15" s="25"/>
      <c r="H15" s="25"/>
      <c r="I15" s="53"/>
      <c r="J15" s="66"/>
      <c r="K15" s="66"/>
      <c r="L15" s="66"/>
      <c r="M15" s="66"/>
      <c r="N15" s="66"/>
      <c r="O15" s="66"/>
      <c r="P15" s="66"/>
      <c r="Q15" s="67"/>
      <c r="R15" s="25"/>
      <c r="S15" s="36"/>
      <c r="T15" s="53">
        <f>T14-E15+50000</f>
        <v>39942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878</v>
      </c>
      <c r="C16" s="25" t="s">
        <v>333</v>
      </c>
      <c r="D16" s="25" t="s">
        <v>279</v>
      </c>
      <c r="E16" s="53">
        <v>420</v>
      </c>
      <c r="F16" s="50"/>
      <c r="G16" s="35"/>
      <c r="H16" s="35"/>
      <c r="I16" s="53"/>
      <c r="J16" s="66"/>
      <c r="K16" s="66"/>
      <c r="L16" s="66"/>
      <c r="M16" s="66"/>
      <c r="N16" s="66"/>
      <c r="O16" s="66">
        <v>420</v>
      </c>
      <c r="P16" s="67"/>
      <c r="Q16" s="66"/>
      <c r="R16" s="25"/>
      <c r="S16" s="36"/>
      <c r="T16" s="53">
        <f t="shared" ref="T16:T20" si="1">T15-E16</f>
        <v>39522</v>
      </c>
      <c r="U16" s="42"/>
      <c r="V16" s="42"/>
      <c r="W16" s="42"/>
      <c r="X16" s="42"/>
      <c r="Y16" s="42"/>
    </row>
    <row r="17" ht="15.75" customHeight="1" spans="1:25" x14ac:dyDescent="0.25">
      <c r="A17" s="25"/>
      <c r="B17" s="35">
        <v>879</v>
      </c>
      <c r="C17" s="25" t="s">
        <v>935</v>
      </c>
      <c r="D17" s="25" t="s">
        <v>28</v>
      </c>
      <c r="E17" s="53">
        <v>2640</v>
      </c>
      <c r="F17" s="50"/>
      <c r="G17" s="35"/>
      <c r="H17" s="35"/>
      <c r="I17" s="53"/>
      <c r="J17" s="66"/>
      <c r="K17" s="66"/>
      <c r="L17" s="66">
        <v>2640</v>
      </c>
      <c r="M17" s="66"/>
      <c r="N17" s="66"/>
      <c r="O17" s="66"/>
      <c r="P17" s="67"/>
      <c r="Q17" s="66"/>
      <c r="R17" s="25"/>
      <c r="S17" s="36"/>
      <c r="T17" s="53">
        <f t="shared" si="1"/>
        <v>36882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880</v>
      </c>
      <c r="C18" s="25" t="s">
        <v>859</v>
      </c>
      <c r="D18" s="25" t="s">
        <v>924</v>
      </c>
      <c r="E18" s="53">
        <v>19580</v>
      </c>
      <c r="F18" s="50"/>
      <c r="G18" s="35">
        <v>178</v>
      </c>
      <c r="H18" s="35">
        <v>110</v>
      </c>
      <c r="I18" s="53">
        <v>19580</v>
      </c>
      <c r="J18" s="66"/>
      <c r="K18" s="66"/>
      <c r="L18" s="66"/>
      <c r="M18" s="66"/>
      <c r="N18" s="66"/>
      <c r="O18" s="66"/>
      <c r="P18" s="66"/>
      <c r="Q18" s="66"/>
      <c r="R18" s="25"/>
      <c r="S18" s="36"/>
      <c r="T18" s="53">
        <f t="shared" si="1"/>
        <v>17302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881</v>
      </c>
      <c r="C19" s="25" t="s">
        <v>936</v>
      </c>
      <c r="D19" s="25" t="s">
        <v>279</v>
      </c>
      <c r="E19" s="53">
        <v>240</v>
      </c>
      <c r="F19" s="50"/>
      <c r="G19" s="35"/>
      <c r="H19" s="35"/>
      <c r="I19" s="53"/>
      <c r="J19" s="66"/>
      <c r="K19" s="66"/>
      <c r="L19" s="66"/>
      <c r="M19" s="66"/>
      <c r="N19" s="66"/>
      <c r="O19" s="66"/>
      <c r="P19" s="66"/>
      <c r="Q19" s="66"/>
      <c r="R19" s="25">
        <v>240</v>
      </c>
      <c r="S19" s="36"/>
      <c r="T19" s="53">
        <f t="shared" si="1"/>
        <v>17062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882</v>
      </c>
      <c r="C20" s="25" t="s">
        <v>937</v>
      </c>
      <c r="D20" s="25" t="s">
        <v>279</v>
      </c>
      <c r="E20" s="53">
        <v>1100</v>
      </c>
      <c r="F20" s="50"/>
      <c r="G20" s="35"/>
      <c r="H20" s="35"/>
      <c r="I20" s="53"/>
      <c r="J20" s="66"/>
      <c r="K20" s="67"/>
      <c r="L20" s="66"/>
      <c r="M20" s="66"/>
      <c r="N20" s="66"/>
      <c r="O20" s="66"/>
      <c r="P20" s="66">
        <v>1100</v>
      </c>
      <c r="Q20" s="66"/>
      <c r="R20" s="25"/>
      <c r="S20" s="36"/>
      <c r="T20" s="53">
        <f t="shared" si="1"/>
        <v>15962</v>
      </c>
      <c r="U20" s="42"/>
      <c r="V20" s="42"/>
      <c r="W20" s="42"/>
      <c r="X20" s="42"/>
      <c r="Y20" s="42"/>
    </row>
    <row r="21" ht="15.75" customHeight="1" spans="1:25" x14ac:dyDescent="0.25">
      <c r="A21" s="25" t="s">
        <v>938</v>
      </c>
      <c r="B21" s="35"/>
      <c r="C21" s="25" t="s">
        <v>934</v>
      </c>
      <c r="D21" s="25"/>
      <c r="E21" s="53"/>
      <c r="F21" s="68">
        <v>50000</v>
      </c>
      <c r="G21" s="25"/>
      <c r="H21" s="25"/>
      <c r="I21" s="53"/>
      <c r="J21" s="66"/>
      <c r="K21" s="66"/>
      <c r="L21" s="66"/>
      <c r="M21" s="66"/>
      <c r="N21" s="66"/>
      <c r="O21" s="66"/>
      <c r="P21" s="66"/>
      <c r="Q21" s="66"/>
      <c r="R21" s="25"/>
      <c r="S21" s="36"/>
      <c r="T21" s="53">
        <f>T20-E21+50000</f>
        <v>65962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883</v>
      </c>
      <c r="C22" s="25" t="s">
        <v>939</v>
      </c>
      <c r="D22" s="25" t="s">
        <v>409</v>
      </c>
      <c r="E22" s="53">
        <v>240</v>
      </c>
      <c r="F22" s="50"/>
      <c r="G22" s="25"/>
      <c r="H22" s="25"/>
      <c r="I22" s="53"/>
      <c r="J22" s="66"/>
      <c r="K22" s="66"/>
      <c r="L22" s="66"/>
      <c r="M22" s="66"/>
      <c r="N22" s="66"/>
      <c r="O22" s="66">
        <v>540</v>
      </c>
      <c r="P22" s="66"/>
      <c r="Q22" s="66"/>
      <c r="R22" s="25"/>
      <c r="S22" s="36"/>
      <c r="T22" s="53">
        <f t="shared" ref="T22:T38" si="2">T21-E22</f>
        <v>65722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884</v>
      </c>
      <c r="C23" s="25" t="s">
        <v>940</v>
      </c>
      <c r="D23" s="25" t="s">
        <v>176</v>
      </c>
      <c r="E23" s="53">
        <v>850</v>
      </c>
      <c r="F23" s="50"/>
      <c r="G23" s="25"/>
      <c r="H23" s="25"/>
      <c r="I23" s="53"/>
      <c r="J23" s="66"/>
      <c r="K23" s="67"/>
      <c r="L23" s="66"/>
      <c r="M23" s="66"/>
      <c r="N23" s="66"/>
      <c r="O23" s="66">
        <v>850</v>
      </c>
      <c r="P23" s="66"/>
      <c r="Q23" s="66"/>
      <c r="R23" s="25"/>
      <c r="S23" s="36"/>
      <c r="T23" s="53">
        <f t="shared" si="2"/>
        <v>64872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5">
        <v>885</v>
      </c>
      <c r="C24" s="25" t="s">
        <v>941</v>
      </c>
      <c r="D24" s="23" t="s">
        <v>279</v>
      </c>
      <c r="E24" s="54">
        <v>2120</v>
      </c>
      <c r="F24" s="50"/>
      <c r="G24" s="25"/>
      <c r="H24" s="25"/>
      <c r="I24" s="53"/>
      <c r="J24" s="66"/>
      <c r="K24" s="67"/>
      <c r="L24" s="66"/>
      <c r="M24" s="66"/>
      <c r="N24" s="66"/>
      <c r="O24" s="66">
        <v>2120</v>
      </c>
      <c r="P24" s="66"/>
      <c r="Q24" s="66"/>
      <c r="R24" s="25"/>
      <c r="S24" s="36"/>
      <c r="T24" s="53">
        <f t="shared" si="2"/>
        <v>62752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886</v>
      </c>
      <c r="C25" s="25" t="s">
        <v>942</v>
      </c>
      <c r="D25" s="23" t="s">
        <v>943</v>
      </c>
      <c r="E25" s="54">
        <v>500</v>
      </c>
      <c r="F25" s="50"/>
      <c r="G25" s="35"/>
      <c r="H25" s="35"/>
      <c r="I25" s="53"/>
      <c r="J25" s="66"/>
      <c r="K25" s="67"/>
      <c r="L25" s="66"/>
      <c r="M25" s="66"/>
      <c r="N25" s="66"/>
      <c r="O25" s="66"/>
      <c r="P25" s="66">
        <v>500</v>
      </c>
      <c r="Q25" s="66"/>
      <c r="R25" s="25"/>
      <c r="S25" s="36"/>
      <c r="T25" s="53">
        <f t="shared" si="2"/>
        <v>62252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887</v>
      </c>
      <c r="C26" s="23" t="s">
        <v>944</v>
      </c>
      <c r="D26" s="25" t="s">
        <v>643</v>
      </c>
      <c r="E26" s="53">
        <v>3000</v>
      </c>
      <c r="F26" s="50"/>
      <c r="G26" s="35"/>
      <c r="H26" s="35"/>
      <c r="I26" s="53"/>
      <c r="J26" s="66"/>
      <c r="K26" s="67">
        <v>3000</v>
      </c>
      <c r="L26" s="66"/>
      <c r="M26" s="66"/>
      <c r="N26" s="66"/>
      <c r="O26" s="66"/>
      <c r="P26" s="66"/>
      <c r="Q26" s="66"/>
      <c r="R26" s="25"/>
      <c r="S26" s="36"/>
      <c r="T26" s="53">
        <f t="shared" si="2"/>
        <v>59252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888</v>
      </c>
      <c r="C27" s="25" t="s">
        <v>945</v>
      </c>
      <c r="D27" s="25" t="s">
        <v>846</v>
      </c>
      <c r="E27" s="53">
        <v>1000</v>
      </c>
      <c r="F27" s="50"/>
      <c r="G27" s="35"/>
      <c r="H27" s="35"/>
      <c r="I27" s="53"/>
      <c r="J27" s="66"/>
      <c r="K27" s="67">
        <v>1000</v>
      </c>
      <c r="L27" s="66"/>
      <c r="M27" s="66"/>
      <c r="N27" s="66"/>
      <c r="O27" s="66"/>
      <c r="P27" s="66"/>
      <c r="Q27" s="66"/>
      <c r="R27" s="25"/>
      <c r="S27" s="36"/>
      <c r="T27" s="53">
        <f t="shared" si="2"/>
        <v>58252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889</v>
      </c>
      <c r="C28" s="25" t="s">
        <v>13</v>
      </c>
      <c r="D28" s="23" t="s">
        <v>636</v>
      </c>
      <c r="E28" s="54">
        <v>2500</v>
      </c>
      <c r="F28" s="50"/>
      <c r="G28" s="35"/>
      <c r="H28" s="25"/>
      <c r="I28" s="53"/>
      <c r="J28" s="66"/>
      <c r="K28" s="67"/>
      <c r="L28" s="66"/>
      <c r="M28" s="66"/>
      <c r="N28" s="66"/>
      <c r="O28" s="66"/>
      <c r="P28" s="66"/>
      <c r="Q28" s="66">
        <v>2500</v>
      </c>
      <c r="R28" s="25"/>
      <c r="S28" s="36"/>
      <c r="T28" s="53">
        <f t="shared" si="2"/>
        <v>55752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890</v>
      </c>
      <c r="C29" s="23" t="s">
        <v>946</v>
      </c>
      <c r="D29" s="23" t="s">
        <v>385</v>
      </c>
      <c r="E29" s="54">
        <v>400</v>
      </c>
      <c r="F29" s="50"/>
      <c r="G29" s="35"/>
      <c r="H29" s="35"/>
      <c r="I29" s="53"/>
      <c r="J29" s="66"/>
      <c r="K29" s="67"/>
      <c r="L29" s="66"/>
      <c r="M29" s="66"/>
      <c r="N29" s="66"/>
      <c r="O29" s="66"/>
      <c r="P29" s="66">
        <v>400</v>
      </c>
      <c r="Q29" s="66"/>
      <c r="R29" s="25"/>
      <c r="S29" s="36"/>
      <c r="T29" s="53">
        <f t="shared" si="2"/>
        <v>55352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891</v>
      </c>
      <c r="C30" s="23" t="s">
        <v>333</v>
      </c>
      <c r="D30" s="25" t="s">
        <v>947</v>
      </c>
      <c r="E30" s="53">
        <v>350</v>
      </c>
      <c r="F30" s="50"/>
      <c r="G30" s="35"/>
      <c r="H30" s="35"/>
      <c r="I30" s="53"/>
      <c r="J30" s="66"/>
      <c r="K30" s="66"/>
      <c r="L30" s="66"/>
      <c r="M30" s="66"/>
      <c r="N30" s="66"/>
      <c r="O30" s="66">
        <v>350</v>
      </c>
      <c r="P30" s="66"/>
      <c r="Q30" s="66"/>
      <c r="R30" s="25"/>
      <c r="S30" s="36"/>
      <c r="T30" s="53">
        <f t="shared" si="2"/>
        <v>55002</v>
      </c>
      <c r="U30" s="42"/>
      <c r="V30" s="42"/>
      <c r="W30" s="42"/>
      <c r="X30" s="42"/>
      <c r="Y30" s="42"/>
    </row>
    <row r="31" ht="15.75" customHeight="1" spans="1:25" x14ac:dyDescent="0.25">
      <c r="A31" s="25" t="s">
        <v>948</v>
      </c>
      <c r="B31" s="35">
        <v>892</v>
      </c>
      <c r="C31" s="25" t="s">
        <v>859</v>
      </c>
      <c r="D31" s="25" t="s">
        <v>924</v>
      </c>
      <c r="E31" s="53">
        <v>40810</v>
      </c>
      <c r="F31" s="50"/>
      <c r="G31" s="35">
        <v>371</v>
      </c>
      <c r="H31" s="35">
        <v>110</v>
      </c>
      <c r="I31" s="53">
        <v>40810</v>
      </c>
      <c r="J31" s="66"/>
      <c r="K31" s="66"/>
      <c r="L31" s="66"/>
      <c r="M31" s="66"/>
      <c r="N31" s="66"/>
      <c r="O31" s="66"/>
      <c r="P31" s="66"/>
      <c r="Q31" s="66"/>
      <c r="R31" s="25"/>
      <c r="S31" s="36"/>
      <c r="T31" s="53">
        <f t="shared" si="2"/>
        <v>14192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893</v>
      </c>
      <c r="C32" s="25" t="s">
        <v>949</v>
      </c>
      <c r="D32" s="23" t="s">
        <v>950</v>
      </c>
      <c r="E32" s="53">
        <v>1500</v>
      </c>
      <c r="F32" s="50"/>
      <c r="G32" s="35"/>
      <c r="H32" s="35"/>
      <c r="I32" s="53"/>
      <c r="J32" s="66"/>
      <c r="K32" s="66">
        <v>1500</v>
      </c>
      <c r="L32" s="66"/>
      <c r="M32" s="66"/>
      <c r="N32" s="66"/>
      <c r="O32" s="66"/>
      <c r="P32" s="66"/>
      <c r="Q32" s="66"/>
      <c r="R32" s="25"/>
      <c r="S32" s="36"/>
      <c r="T32" s="53">
        <f t="shared" si="2"/>
        <v>12692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894</v>
      </c>
      <c r="C33" s="23" t="s">
        <v>944</v>
      </c>
      <c r="D33" s="25" t="s">
        <v>643</v>
      </c>
      <c r="E33" s="53">
        <v>3000</v>
      </c>
      <c r="F33" s="50"/>
      <c r="G33" s="25"/>
      <c r="H33" s="25"/>
      <c r="I33" s="53"/>
      <c r="J33" s="66"/>
      <c r="K33" s="66">
        <v>3000</v>
      </c>
      <c r="L33" s="66"/>
      <c r="M33" s="66"/>
      <c r="N33" s="66"/>
      <c r="O33" s="66"/>
      <c r="P33" s="66"/>
      <c r="Q33" s="67"/>
      <c r="R33" s="25"/>
      <c r="S33" s="36"/>
      <c r="T33" s="53">
        <f t="shared" si="2"/>
        <v>9692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951</v>
      </c>
      <c r="B34" s="35">
        <v>895</v>
      </c>
      <c r="C34" s="25" t="s">
        <v>921</v>
      </c>
      <c r="D34" s="25" t="s">
        <v>557</v>
      </c>
      <c r="E34" s="53">
        <v>2550</v>
      </c>
      <c r="F34" s="50"/>
      <c r="G34" s="25"/>
      <c r="H34" s="25"/>
      <c r="I34" s="53"/>
      <c r="J34" s="66"/>
      <c r="K34" s="66"/>
      <c r="L34" s="66"/>
      <c r="M34" s="66"/>
      <c r="N34" s="66"/>
      <c r="O34" s="66"/>
      <c r="P34" s="67"/>
      <c r="Q34" s="66"/>
      <c r="R34" s="25">
        <v>2550</v>
      </c>
      <c r="S34" s="36"/>
      <c r="T34" s="53">
        <f t="shared" si="2"/>
        <v>7142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896</v>
      </c>
      <c r="C35" s="25" t="s">
        <v>952</v>
      </c>
      <c r="D35" s="23" t="s">
        <v>881</v>
      </c>
      <c r="E35" s="54">
        <v>900</v>
      </c>
      <c r="F35" s="50"/>
      <c r="G35" s="25"/>
      <c r="H35" s="25"/>
      <c r="I35" s="53"/>
      <c r="J35" s="66"/>
      <c r="K35" s="66"/>
      <c r="L35" s="66"/>
      <c r="M35" s="66"/>
      <c r="N35" s="66"/>
      <c r="O35" s="66"/>
      <c r="P35" s="66"/>
      <c r="Q35" s="66"/>
      <c r="R35" s="25">
        <v>900</v>
      </c>
      <c r="S35" s="36"/>
      <c r="T35" s="53">
        <f t="shared" si="2"/>
        <v>6242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897</v>
      </c>
      <c r="C36" s="25" t="s">
        <v>13</v>
      </c>
      <c r="D36" s="23" t="s">
        <v>636</v>
      </c>
      <c r="E36" s="54">
        <v>2500</v>
      </c>
      <c r="F36" s="50"/>
      <c r="G36" s="35"/>
      <c r="H36" s="35"/>
      <c r="I36" s="53"/>
      <c r="J36" s="66"/>
      <c r="K36" s="66"/>
      <c r="L36" s="66"/>
      <c r="M36" s="66"/>
      <c r="N36" s="66"/>
      <c r="O36" s="66"/>
      <c r="P36" s="66"/>
      <c r="Q36" s="66">
        <v>2500</v>
      </c>
      <c r="R36" s="25"/>
      <c r="S36" s="36"/>
      <c r="T36" s="53">
        <f t="shared" si="2"/>
        <v>3742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898</v>
      </c>
      <c r="C37" s="25" t="s">
        <v>925</v>
      </c>
      <c r="D37" s="79" t="s">
        <v>953</v>
      </c>
      <c r="E37" s="80">
        <v>400</v>
      </c>
      <c r="F37" s="50"/>
      <c r="G37" s="35"/>
      <c r="H37" s="35"/>
      <c r="I37" s="53"/>
      <c r="J37" s="66"/>
      <c r="K37" s="66"/>
      <c r="L37" s="66"/>
      <c r="M37" s="66"/>
      <c r="N37" s="66"/>
      <c r="O37" s="66"/>
      <c r="P37" s="66">
        <v>400</v>
      </c>
      <c r="Q37" s="66"/>
      <c r="R37" s="25"/>
      <c r="S37" s="36"/>
      <c r="T37" s="53">
        <f t="shared" si="2"/>
        <v>3342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899</v>
      </c>
      <c r="C38" s="25" t="s">
        <v>463</v>
      </c>
      <c r="D38" s="25" t="s">
        <v>119</v>
      </c>
      <c r="E38" s="53">
        <v>500</v>
      </c>
      <c r="F38" s="50"/>
      <c r="G38" s="35"/>
      <c r="H38" s="35"/>
      <c r="I38" s="53"/>
      <c r="J38" s="66"/>
      <c r="K38" s="66"/>
      <c r="L38" s="66"/>
      <c r="M38" s="66">
        <v>500</v>
      </c>
      <c r="N38" s="66"/>
      <c r="O38" s="66"/>
      <c r="P38" s="66"/>
      <c r="Q38" s="66"/>
      <c r="R38" s="25"/>
      <c r="S38" s="36"/>
      <c r="T38" s="53">
        <f t="shared" si="2"/>
        <v>2842</v>
      </c>
      <c r="U38" s="42"/>
      <c r="V38" s="42"/>
      <c r="W38" s="42"/>
      <c r="X38" s="42"/>
      <c r="Y38" s="42"/>
    </row>
    <row r="39" ht="15.75" customHeight="1" spans="1:25" x14ac:dyDescent="0.25">
      <c r="A39" s="25" t="s">
        <v>954</v>
      </c>
      <c r="B39" s="35"/>
      <c r="C39" s="25" t="s">
        <v>955</v>
      </c>
      <c r="D39" s="25"/>
      <c r="E39" s="65"/>
      <c r="F39" s="50"/>
      <c r="G39" s="35"/>
      <c r="H39" s="35"/>
      <c r="I39" s="53"/>
      <c r="J39" s="66"/>
      <c r="K39" s="66"/>
      <c r="L39" s="66"/>
      <c r="M39" s="66"/>
      <c r="N39" s="66"/>
      <c r="O39" s="66"/>
      <c r="P39" s="66"/>
      <c r="Q39" s="66"/>
      <c r="R39" s="25"/>
      <c r="S39" s="36"/>
      <c r="T39" s="53">
        <f>T38-E39+75000</f>
        <v>77842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900</v>
      </c>
      <c r="C40" s="25" t="s">
        <v>859</v>
      </c>
      <c r="D40" s="25" t="s">
        <v>618</v>
      </c>
      <c r="E40" s="53">
        <v>31680</v>
      </c>
      <c r="F40" s="50"/>
      <c r="G40" s="35">
        <v>288</v>
      </c>
      <c r="H40" s="35">
        <v>110</v>
      </c>
      <c r="I40" s="53">
        <v>31680</v>
      </c>
      <c r="J40" s="66"/>
      <c r="K40" s="66"/>
      <c r="L40" s="66"/>
      <c r="M40" s="66"/>
      <c r="N40" s="66"/>
      <c r="O40" s="66"/>
      <c r="P40" s="67"/>
      <c r="Q40" s="66"/>
      <c r="R40" s="25"/>
      <c r="S40" s="36"/>
      <c r="T40" s="53">
        <f t="shared" ref="T40:T43" si="3">T39-E40</f>
        <v>46162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901</v>
      </c>
      <c r="C41" s="25" t="s">
        <v>956</v>
      </c>
      <c r="D41" s="25" t="s">
        <v>957</v>
      </c>
      <c r="E41" s="53">
        <v>920</v>
      </c>
      <c r="F41" s="50"/>
      <c r="G41" s="35"/>
      <c r="H41" s="35"/>
      <c r="I41" s="53"/>
      <c r="J41" s="66"/>
      <c r="K41" s="66"/>
      <c r="L41" s="66"/>
      <c r="M41" s="67"/>
      <c r="N41" s="66"/>
      <c r="O41" s="66"/>
      <c r="P41" s="66">
        <v>920</v>
      </c>
      <c r="Q41" s="66"/>
      <c r="R41" s="25"/>
      <c r="S41" s="36"/>
      <c r="T41" s="53">
        <f t="shared" si="3"/>
        <v>45242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902</v>
      </c>
      <c r="C42" s="25" t="s">
        <v>958</v>
      </c>
      <c r="D42" s="25" t="s">
        <v>295</v>
      </c>
      <c r="E42" s="53">
        <v>600</v>
      </c>
      <c r="F42" s="50"/>
      <c r="G42" s="35"/>
      <c r="H42" s="35"/>
      <c r="I42" s="53"/>
      <c r="J42" s="66"/>
      <c r="K42" s="66"/>
      <c r="L42" s="66"/>
      <c r="M42" s="66"/>
      <c r="N42" s="66"/>
      <c r="O42" s="66"/>
      <c r="P42" s="66"/>
      <c r="Q42" s="66"/>
      <c r="R42" s="25">
        <v>600</v>
      </c>
      <c r="S42" s="36"/>
      <c r="T42" s="53">
        <f t="shared" si="3"/>
        <v>44642</v>
      </c>
      <c r="U42" s="42"/>
      <c r="V42" s="42"/>
      <c r="W42" s="42"/>
      <c r="X42" s="42"/>
      <c r="Y42" s="42"/>
    </row>
    <row r="43" ht="15.75" customHeight="1" spans="1:25" x14ac:dyDescent="0.25">
      <c r="A43" s="25" t="s">
        <v>959</v>
      </c>
      <c r="B43" s="35">
        <v>903</v>
      </c>
      <c r="C43" s="25" t="s">
        <v>960</v>
      </c>
      <c r="D43" s="25" t="s">
        <v>28</v>
      </c>
      <c r="E43" s="53">
        <v>1260</v>
      </c>
      <c r="F43" s="50"/>
      <c r="G43" s="25"/>
      <c r="H43" s="25"/>
      <c r="I43" s="65"/>
      <c r="J43" s="66"/>
      <c r="K43" s="66"/>
      <c r="L43" s="66"/>
      <c r="M43" s="66"/>
      <c r="N43" s="66"/>
      <c r="O43" s="66"/>
      <c r="P43" s="66"/>
      <c r="Q43" s="66"/>
      <c r="R43" s="25"/>
      <c r="S43" s="36"/>
      <c r="T43" s="53">
        <f t="shared" si="3"/>
        <v>43382</v>
      </c>
      <c r="U43" s="42"/>
      <c r="V43" s="42"/>
      <c r="W43" s="42"/>
      <c r="X43" s="42"/>
      <c r="Y43" s="42"/>
    </row>
    <row r="44" ht="15.75" customHeight="1" spans="1:25" x14ac:dyDescent="0.25">
      <c r="A44" s="25" t="s">
        <v>961</v>
      </c>
      <c r="B44" s="25"/>
      <c r="C44" s="25" t="s">
        <v>934</v>
      </c>
      <c r="D44" s="25"/>
      <c r="E44" s="53"/>
      <c r="F44" s="68">
        <v>50000</v>
      </c>
      <c r="G44" s="25"/>
      <c r="H44" s="25"/>
      <c r="I44" s="65"/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>T43-E44+50000</f>
        <v>93382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904</v>
      </c>
      <c r="C45" s="25" t="s">
        <v>962</v>
      </c>
      <c r="D45" s="25" t="s">
        <v>963</v>
      </c>
      <c r="E45" s="53">
        <v>25000</v>
      </c>
      <c r="F45" s="50"/>
      <c r="G45" s="35">
        <v>1234</v>
      </c>
      <c r="H45" s="35">
        <v>40</v>
      </c>
      <c r="I45" s="53">
        <v>49360</v>
      </c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ref="T45:T51" si="4">T44-E45</f>
        <v>68382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905</v>
      </c>
      <c r="C46" s="25" t="s">
        <v>964</v>
      </c>
      <c r="D46" s="25" t="s">
        <v>965</v>
      </c>
      <c r="E46" s="53">
        <v>28140</v>
      </c>
      <c r="F46" s="50"/>
      <c r="G46" s="25"/>
      <c r="H46" s="25"/>
      <c r="I46" s="53">
        <v>28140</v>
      </c>
      <c r="J46" s="66"/>
      <c r="L46" s="66"/>
      <c r="M46" s="66"/>
      <c r="N46" s="66"/>
      <c r="O46" s="66"/>
      <c r="P46" s="66"/>
      <c r="Q46" s="66"/>
      <c r="R46" s="25"/>
      <c r="S46" s="36"/>
      <c r="T46" s="53">
        <f t="shared" si="4"/>
        <v>40242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906</v>
      </c>
      <c r="C47" s="87" t="s">
        <v>966</v>
      </c>
      <c r="D47" s="25" t="s">
        <v>643</v>
      </c>
      <c r="E47" s="53">
        <v>1000</v>
      </c>
      <c r="F47" s="50"/>
      <c r="G47" s="25"/>
      <c r="H47" s="25"/>
      <c r="I47" s="65"/>
      <c r="J47" s="66"/>
      <c r="K47" s="66">
        <v>1000</v>
      </c>
      <c r="L47" s="66"/>
      <c r="M47" s="66"/>
      <c r="N47" s="66"/>
      <c r="O47" s="66"/>
      <c r="P47" s="66"/>
      <c r="Q47" s="66"/>
      <c r="R47" s="25"/>
      <c r="S47" s="36"/>
      <c r="T47" s="53">
        <f t="shared" si="4"/>
        <v>39242</v>
      </c>
      <c r="U47" s="42"/>
      <c r="V47" s="42"/>
      <c r="W47" s="42"/>
      <c r="X47" s="42"/>
      <c r="Y47" s="42"/>
    </row>
    <row r="48" ht="15.75" customHeight="1" spans="1:25" x14ac:dyDescent="0.25">
      <c r="A48" s="25" t="s">
        <v>967</v>
      </c>
      <c r="B48" s="35">
        <v>907</v>
      </c>
      <c r="C48" s="25" t="s">
        <v>968</v>
      </c>
      <c r="D48" s="25" t="s">
        <v>341</v>
      </c>
      <c r="E48" s="53">
        <v>300</v>
      </c>
      <c r="F48" s="50"/>
      <c r="G48" s="35"/>
      <c r="H48" s="25"/>
      <c r="I48" s="65"/>
      <c r="J48" s="66"/>
      <c r="K48" s="66"/>
      <c r="L48" s="66"/>
      <c r="M48" s="66"/>
      <c r="N48" s="66"/>
      <c r="O48" s="66"/>
      <c r="P48" s="66"/>
      <c r="Q48" s="66"/>
      <c r="R48" s="25"/>
      <c r="S48" s="36"/>
      <c r="T48" s="53">
        <f t="shared" si="4"/>
        <v>38942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908</v>
      </c>
      <c r="C49" s="25" t="s">
        <v>969</v>
      </c>
      <c r="D49" s="25" t="s">
        <v>295</v>
      </c>
      <c r="E49" s="53">
        <v>450</v>
      </c>
      <c r="F49" s="50"/>
      <c r="G49" s="35"/>
      <c r="H49" s="25"/>
      <c r="I49" s="65"/>
      <c r="J49" s="66"/>
      <c r="K49" s="66"/>
      <c r="L49" s="66"/>
      <c r="M49" s="66"/>
      <c r="N49" s="66"/>
      <c r="O49" s="66"/>
      <c r="P49" s="66"/>
      <c r="Q49" s="66"/>
      <c r="R49" s="25"/>
      <c r="S49" s="36"/>
      <c r="T49" s="53">
        <f t="shared" si="4"/>
        <v>38492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909</v>
      </c>
      <c r="C50" s="25" t="s">
        <v>970</v>
      </c>
      <c r="D50" s="25" t="s">
        <v>610</v>
      </c>
      <c r="E50" s="53">
        <v>170</v>
      </c>
      <c r="F50" s="50"/>
      <c r="G50" s="35"/>
      <c r="H50" s="25"/>
      <c r="I50" s="65"/>
      <c r="J50" s="66"/>
      <c r="K50" s="66"/>
      <c r="L50" s="66"/>
      <c r="M50" s="66"/>
      <c r="N50" s="66"/>
      <c r="O50" s="66"/>
      <c r="P50" s="66"/>
      <c r="Q50" s="66"/>
      <c r="R50" s="25"/>
      <c r="S50" s="36"/>
      <c r="T50" s="53">
        <f t="shared" si="4"/>
        <v>38322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910</v>
      </c>
      <c r="C51" s="25" t="s">
        <v>971</v>
      </c>
      <c r="D51" s="25" t="s">
        <v>28</v>
      </c>
      <c r="E51" s="53">
        <v>310</v>
      </c>
      <c r="F51" s="50"/>
      <c r="G51" s="35"/>
      <c r="H51" s="35"/>
      <c r="I51" s="53"/>
      <c r="J51" s="66"/>
      <c r="K51" s="66"/>
      <c r="L51" s="66"/>
      <c r="M51" s="66"/>
      <c r="N51" s="66"/>
      <c r="O51" s="66"/>
      <c r="P51" s="66"/>
      <c r="Q51" s="66"/>
      <c r="R51" s="25"/>
      <c r="S51" s="36"/>
      <c r="T51" s="53">
        <f t="shared" si="4"/>
        <v>38012</v>
      </c>
      <c r="U51" s="42"/>
      <c r="V51" s="42"/>
      <c r="W51" s="42"/>
      <c r="X51" s="42"/>
      <c r="Y51" s="42"/>
    </row>
    <row r="52" ht="15.75" customHeight="1" spans="1:25" x14ac:dyDescent="0.25">
      <c r="A52" s="25" t="s">
        <v>972</v>
      </c>
      <c r="B52" s="35"/>
      <c r="C52" s="25" t="s">
        <v>973</v>
      </c>
      <c r="D52" s="25"/>
      <c r="E52" s="53"/>
      <c r="F52" s="68">
        <v>100000</v>
      </c>
      <c r="G52" s="25"/>
      <c r="H52" s="25"/>
      <c r="I52" s="65"/>
      <c r="J52" s="66"/>
      <c r="K52" s="66"/>
      <c r="L52" s="66"/>
      <c r="M52" s="66"/>
      <c r="N52" s="66"/>
      <c r="O52" s="66"/>
      <c r="P52" s="66"/>
      <c r="Q52" s="66"/>
      <c r="R52" s="25"/>
      <c r="S52" s="36"/>
      <c r="T52" s="53">
        <f>T51-E52+100000</f>
        <v>138012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911</v>
      </c>
      <c r="C53" s="25" t="s">
        <v>634</v>
      </c>
      <c r="D53" s="25" t="s">
        <v>69</v>
      </c>
      <c r="E53" s="53">
        <v>1400</v>
      </c>
      <c r="F53" s="50"/>
      <c r="G53" s="35">
        <v>14</v>
      </c>
      <c r="H53" s="35">
        <v>100</v>
      </c>
      <c r="I53" s="53">
        <v>1400</v>
      </c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 t="shared" ref="T53:T72" si="5">T52-E53</f>
        <v>136612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912</v>
      </c>
      <c r="C54" s="25" t="s">
        <v>974</v>
      </c>
      <c r="D54" s="25" t="s">
        <v>965</v>
      </c>
      <c r="E54" s="53">
        <v>3570</v>
      </c>
      <c r="F54" s="50"/>
      <c r="G54" s="35">
        <v>17</v>
      </c>
      <c r="H54" s="35">
        <v>210</v>
      </c>
      <c r="I54" s="53">
        <v>3570</v>
      </c>
      <c r="J54" s="66"/>
      <c r="K54" s="66"/>
      <c r="L54" s="66"/>
      <c r="M54" s="66"/>
      <c r="N54" s="66"/>
      <c r="O54" s="66"/>
      <c r="P54" s="66"/>
      <c r="Q54" s="66"/>
      <c r="R54" s="25"/>
      <c r="S54" s="36"/>
      <c r="T54" s="53">
        <f t="shared" si="5"/>
        <v>133042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913</v>
      </c>
      <c r="C55" s="25" t="s">
        <v>975</v>
      </c>
      <c r="D55" s="25" t="s">
        <v>649</v>
      </c>
      <c r="E55" s="53">
        <v>906</v>
      </c>
      <c r="F55" s="50"/>
      <c r="G55" s="35">
        <v>5.032</v>
      </c>
      <c r="H55" s="35">
        <v>180</v>
      </c>
      <c r="I55" s="53">
        <v>906</v>
      </c>
      <c r="J55" s="66"/>
      <c r="K55" s="66"/>
      <c r="L55" s="66"/>
      <c r="M55" s="66"/>
      <c r="N55" s="66"/>
      <c r="O55" s="66"/>
      <c r="P55" s="66"/>
      <c r="Q55" s="66"/>
      <c r="R55" s="25"/>
      <c r="S55" s="36"/>
      <c r="T55" s="53">
        <f t="shared" si="5"/>
        <v>132136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914</v>
      </c>
      <c r="C56" s="25" t="s">
        <v>976</v>
      </c>
      <c r="D56" s="25" t="s">
        <v>649</v>
      </c>
      <c r="E56" s="53">
        <v>3425.5</v>
      </c>
      <c r="F56" s="50"/>
      <c r="G56" s="35">
        <v>4.03</v>
      </c>
      <c r="H56" s="35">
        <v>850</v>
      </c>
      <c r="I56" s="53">
        <v>3425.5</v>
      </c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 t="shared" si="5"/>
        <v>128710.5</v>
      </c>
      <c r="U56" s="42"/>
      <c r="V56" s="42"/>
      <c r="W56" s="42"/>
      <c r="X56" s="42"/>
      <c r="Y56" s="42"/>
    </row>
    <row r="57" ht="15.75" customHeight="1" spans="1:25" x14ac:dyDescent="0.25">
      <c r="A57" s="25"/>
      <c r="B57" s="35"/>
      <c r="C57" s="25" t="s">
        <v>977</v>
      </c>
      <c r="D57" s="25" t="s">
        <v>649</v>
      </c>
      <c r="E57" s="53">
        <v>1216</v>
      </c>
      <c r="F57" s="50"/>
      <c r="G57" s="35">
        <v>2.096</v>
      </c>
      <c r="H57" s="35">
        <v>580</v>
      </c>
      <c r="I57" s="53">
        <v>1215.68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si="5"/>
        <v>127494.5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915</v>
      </c>
      <c r="C58" s="25" t="s">
        <v>978</v>
      </c>
      <c r="D58" s="25" t="s">
        <v>28</v>
      </c>
      <c r="E58" s="53">
        <v>1680</v>
      </c>
      <c r="F58" s="50"/>
      <c r="G58" s="35"/>
      <c r="H58" s="35"/>
      <c r="I58" s="65"/>
      <c r="J58" s="66"/>
      <c r="K58" s="66"/>
      <c r="L58" s="66">
        <v>1680</v>
      </c>
      <c r="M58" s="66"/>
      <c r="N58" s="66"/>
      <c r="O58" s="66"/>
      <c r="P58" s="66"/>
      <c r="Q58" s="66"/>
      <c r="R58" s="25"/>
      <c r="S58" s="36"/>
      <c r="T58" s="53">
        <f t="shared" si="5"/>
        <v>125814.5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916</v>
      </c>
      <c r="C59" s="25" t="s">
        <v>962</v>
      </c>
      <c r="D59" s="25" t="s">
        <v>963</v>
      </c>
      <c r="E59" s="53">
        <v>50400</v>
      </c>
      <c r="F59" s="50"/>
      <c r="G59" s="35">
        <v>1432</v>
      </c>
      <c r="H59" s="35">
        <v>40</v>
      </c>
      <c r="I59" s="53">
        <v>57280</v>
      </c>
      <c r="J59" s="66"/>
      <c r="K59" s="66"/>
      <c r="L59" s="66"/>
      <c r="M59" s="67"/>
      <c r="N59" s="66"/>
      <c r="O59" s="66"/>
      <c r="P59" s="66"/>
      <c r="Q59" s="66"/>
      <c r="R59" s="25"/>
      <c r="S59" s="36"/>
      <c r="T59" s="53">
        <f t="shared" si="5"/>
        <v>75414.5</v>
      </c>
      <c r="U59" s="42"/>
      <c r="V59" s="42"/>
      <c r="W59" s="42"/>
      <c r="X59" s="42"/>
      <c r="Y59" s="42"/>
    </row>
    <row r="60" ht="15.75" customHeight="1" spans="1:25" x14ac:dyDescent="0.25">
      <c r="A60" s="25" t="s">
        <v>979</v>
      </c>
      <c r="B60" s="35">
        <v>917</v>
      </c>
      <c r="C60" s="25" t="s">
        <v>980</v>
      </c>
      <c r="D60" s="25" t="s">
        <v>965</v>
      </c>
      <c r="E60" s="53">
        <v>5460</v>
      </c>
      <c r="F60" s="50"/>
      <c r="G60" s="35">
        <v>2.6</v>
      </c>
      <c r="H60" s="53">
        <v>2100</v>
      </c>
      <c r="I60" s="53">
        <v>5460</v>
      </c>
      <c r="J60" s="66"/>
      <c r="K60" s="66"/>
      <c r="L60" s="66"/>
      <c r="M60" s="66"/>
      <c r="N60" s="66"/>
      <c r="O60" s="66"/>
      <c r="P60" s="67"/>
      <c r="Q60" s="66"/>
      <c r="R60" s="25"/>
      <c r="S60" s="36"/>
      <c r="T60" s="53">
        <f t="shared" si="5"/>
        <v>69954.5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918</v>
      </c>
      <c r="C61" s="25" t="s">
        <v>981</v>
      </c>
      <c r="D61" s="25" t="s">
        <v>965</v>
      </c>
      <c r="E61" s="53">
        <v>1290</v>
      </c>
      <c r="F61" s="50"/>
      <c r="G61" s="35">
        <v>3</v>
      </c>
      <c r="H61" s="35">
        <v>430</v>
      </c>
      <c r="I61" s="53">
        <v>1290</v>
      </c>
      <c r="J61" s="66"/>
      <c r="K61" s="66"/>
      <c r="L61" s="66"/>
      <c r="M61" s="66"/>
      <c r="N61" s="66"/>
      <c r="O61" s="66"/>
      <c r="P61" s="66"/>
      <c r="Q61" s="66"/>
      <c r="R61" s="25"/>
      <c r="S61" s="36"/>
      <c r="T61" s="53">
        <f t="shared" si="5"/>
        <v>68664.5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919</v>
      </c>
      <c r="C62" s="25" t="s">
        <v>931</v>
      </c>
      <c r="D62" s="25" t="s">
        <v>119</v>
      </c>
      <c r="E62" s="53">
        <v>500</v>
      </c>
      <c r="F62" s="50"/>
      <c r="G62" s="25"/>
      <c r="H62" s="25"/>
      <c r="I62" s="65"/>
      <c r="J62" s="66"/>
      <c r="K62" s="66"/>
      <c r="L62" s="66"/>
      <c r="M62" s="66">
        <v>500</v>
      </c>
      <c r="N62" s="66"/>
      <c r="O62" s="66"/>
      <c r="P62" s="66"/>
      <c r="Q62" s="66"/>
      <c r="R62" s="25"/>
      <c r="S62" s="36"/>
      <c r="T62" s="53">
        <f t="shared" si="5"/>
        <v>68164.5</v>
      </c>
      <c r="U62" s="42"/>
      <c r="V62" s="42"/>
      <c r="W62" s="42"/>
      <c r="X62" s="42"/>
      <c r="Y62" s="42"/>
    </row>
    <row r="63" ht="15.75" customHeight="1" spans="1:25" x14ac:dyDescent="0.25">
      <c r="A63" s="25" t="s">
        <v>982</v>
      </c>
      <c r="B63" s="35">
        <v>920</v>
      </c>
      <c r="C63" s="25" t="s">
        <v>983</v>
      </c>
      <c r="D63" s="25" t="s">
        <v>846</v>
      </c>
      <c r="E63" s="53">
        <v>500</v>
      </c>
      <c r="F63" s="50"/>
      <c r="G63" s="25"/>
      <c r="H63" s="25"/>
      <c r="I63" s="65"/>
      <c r="J63" s="66"/>
      <c r="K63" s="66">
        <v>500</v>
      </c>
      <c r="L63" s="66"/>
      <c r="M63" s="66"/>
      <c r="N63" s="66"/>
      <c r="O63" s="66"/>
      <c r="P63" s="66"/>
      <c r="Q63" s="66"/>
      <c r="R63" s="25"/>
      <c r="S63" s="36"/>
      <c r="T63" s="53">
        <f t="shared" si="5"/>
        <v>67664.5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921</v>
      </c>
      <c r="C64" s="25" t="s">
        <v>984</v>
      </c>
      <c r="D64" s="25" t="s">
        <v>119</v>
      </c>
      <c r="E64" s="53">
        <v>1000</v>
      </c>
      <c r="F64" s="50"/>
      <c r="G64" s="25"/>
      <c r="H64" s="25"/>
      <c r="I64" s="65"/>
      <c r="J64" s="66"/>
      <c r="K64" s="66"/>
      <c r="L64" s="66"/>
      <c r="M64" s="66">
        <v>1000</v>
      </c>
      <c r="N64" s="66"/>
      <c r="O64" s="67"/>
      <c r="P64" s="66"/>
      <c r="Q64" s="66"/>
      <c r="R64" s="25"/>
      <c r="S64" s="36"/>
      <c r="T64" s="53">
        <f t="shared" si="5"/>
        <v>66664.5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922</v>
      </c>
      <c r="C65" s="25" t="s">
        <v>985</v>
      </c>
      <c r="D65" s="25" t="s">
        <v>986</v>
      </c>
      <c r="E65" s="53">
        <v>240</v>
      </c>
      <c r="F65" s="50"/>
      <c r="G65" s="35">
        <v>8</v>
      </c>
      <c r="H65" s="35">
        <v>30</v>
      </c>
      <c r="I65" s="53">
        <v>24</v>
      </c>
      <c r="J65" s="66"/>
      <c r="K65" s="66"/>
      <c r="L65" s="66"/>
      <c r="M65" s="66"/>
      <c r="N65" s="66"/>
      <c r="O65" s="67"/>
      <c r="P65" s="66"/>
      <c r="Q65" s="66"/>
      <c r="R65" s="25"/>
      <c r="S65" s="36"/>
      <c r="T65" s="53">
        <f t="shared" si="5"/>
        <v>66424.5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923</v>
      </c>
      <c r="C66" s="25" t="s">
        <v>13</v>
      </c>
      <c r="D66" s="25" t="s">
        <v>636</v>
      </c>
      <c r="E66" s="53">
        <v>2500</v>
      </c>
      <c r="F66" s="50"/>
      <c r="G66" s="35"/>
      <c r="H66" s="35"/>
      <c r="I66" s="53"/>
      <c r="J66" s="66"/>
      <c r="K66" s="66"/>
      <c r="L66" s="66"/>
      <c r="M66" s="66"/>
      <c r="N66" s="66"/>
      <c r="O66" s="66"/>
      <c r="P66" s="66"/>
      <c r="Q66" s="67">
        <v>2500</v>
      </c>
      <c r="R66" s="25"/>
      <c r="S66" s="36"/>
      <c r="T66" s="53">
        <f t="shared" si="5"/>
        <v>63924.5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924</v>
      </c>
      <c r="C67" s="25" t="s">
        <v>969</v>
      </c>
      <c r="D67" s="25" t="s">
        <v>557</v>
      </c>
      <c r="E67" s="53">
        <v>900</v>
      </c>
      <c r="F67" s="50"/>
      <c r="G67" s="35"/>
      <c r="H67" s="35"/>
      <c r="I67" s="53"/>
      <c r="J67" s="66"/>
      <c r="K67" s="66"/>
      <c r="L67" s="66"/>
      <c r="M67" s="66"/>
      <c r="N67" s="66"/>
      <c r="O67" s="66"/>
      <c r="P67" s="67">
        <v>900</v>
      </c>
      <c r="Q67" s="66"/>
      <c r="R67" s="25"/>
      <c r="S67" s="36"/>
      <c r="T67" s="53">
        <f t="shared" si="5"/>
        <v>63024.5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925</v>
      </c>
      <c r="C68" s="25" t="s">
        <v>384</v>
      </c>
      <c r="D68" s="25" t="s">
        <v>385</v>
      </c>
      <c r="E68" s="53">
        <v>400</v>
      </c>
      <c r="F68" s="50"/>
      <c r="G68" s="25"/>
      <c r="H68" s="25"/>
      <c r="I68" s="65"/>
      <c r="J68" s="66"/>
      <c r="K68" s="66"/>
      <c r="L68" s="66"/>
      <c r="M68" s="66"/>
      <c r="N68" s="66"/>
      <c r="O68" s="66"/>
      <c r="P68" s="66">
        <v>400</v>
      </c>
      <c r="Q68" s="66"/>
      <c r="R68" s="25"/>
      <c r="S68" s="36"/>
      <c r="T68" s="53">
        <f t="shared" si="5"/>
        <v>62624.5</v>
      </c>
      <c r="U68" s="42"/>
      <c r="V68" s="42"/>
      <c r="W68" s="42"/>
      <c r="X68" s="42"/>
      <c r="Y68" s="42"/>
    </row>
    <row r="69" ht="15.75" customHeight="1" spans="1:25" x14ac:dyDescent="0.25">
      <c r="A69" s="25" t="s">
        <v>987</v>
      </c>
      <c r="B69" s="35">
        <v>926</v>
      </c>
      <c r="C69" s="27" t="s">
        <v>94</v>
      </c>
      <c r="D69" s="27" t="s">
        <v>121</v>
      </c>
      <c r="E69" s="74">
        <v>2700</v>
      </c>
      <c r="F69" s="50"/>
      <c r="G69" s="35">
        <v>18</v>
      </c>
      <c r="H69" s="35">
        <v>150</v>
      </c>
      <c r="I69" s="53">
        <v>2700</v>
      </c>
      <c r="J69" s="66"/>
      <c r="K69" s="66"/>
      <c r="L69" s="66"/>
      <c r="M69" s="66"/>
      <c r="N69" s="66"/>
      <c r="O69" s="66"/>
      <c r="P69" s="66"/>
      <c r="Q69" s="66"/>
      <c r="R69" s="25"/>
      <c r="S69" s="36"/>
      <c r="T69" s="53">
        <f t="shared" si="5"/>
        <v>59924.5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>
        <v>927</v>
      </c>
      <c r="C70" s="25" t="s">
        <v>983</v>
      </c>
      <c r="D70" s="25" t="s">
        <v>846</v>
      </c>
      <c r="E70" s="53">
        <v>500</v>
      </c>
      <c r="F70" s="50"/>
      <c r="G70" s="25"/>
      <c r="H70" s="25"/>
      <c r="I70" s="65"/>
      <c r="J70" s="66"/>
      <c r="K70" s="66">
        <v>1000</v>
      </c>
      <c r="L70" s="66"/>
      <c r="M70" s="66"/>
      <c r="N70" s="66"/>
      <c r="O70" s="66"/>
      <c r="P70" s="66"/>
      <c r="Q70" s="66"/>
      <c r="R70" s="25"/>
      <c r="S70" s="36"/>
      <c r="T70" s="53">
        <f t="shared" si="5"/>
        <v>59424.5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928</v>
      </c>
      <c r="C71" s="25" t="s">
        <v>984</v>
      </c>
      <c r="D71" s="25" t="s">
        <v>119</v>
      </c>
      <c r="E71" s="53">
        <v>1000</v>
      </c>
      <c r="F71" s="50"/>
      <c r="G71" s="25"/>
      <c r="H71" s="25"/>
      <c r="I71" s="65"/>
      <c r="J71" s="66"/>
      <c r="K71" s="66"/>
      <c r="L71" s="66"/>
      <c r="M71" s="66">
        <v>1000</v>
      </c>
      <c r="N71" s="66"/>
      <c r="O71" s="66"/>
      <c r="P71" s="66"/>
      <c r="Q71" s="66"/>
      <c r="R71" s="25"/>
      <c r="S71" s="36"/>
      <c r="T71" s="53">
        <f t="shared" si="5"/>
        <v>58424.5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988</v>
      </c>
      <c r="B72" s="35">
        <v>929</v>
      </c>
      <c r="C72" s="25" t="s">
        <v>989</v>
      </c>
      <c r="D72" s="25" t="s">
        <v>28</v>
      </c>
      <c r="E72" s="53">
        <v>530</v>
      </c>
      <c r="F72" s="50"/>
      <c r="G72" s="25"/>
      <c r="H72" s="25"/>
      <c r="I72" s="65"/>
      <c r="J72" s="66"/>
      <c r="K72" s="66"/>
      <c r="L72" s="66"/>
      <c r="M72" s="66"/>
      <c r="N72" s="66"/>
      <c r="O72" s="66"/>
      <c r="P72" s="66">
        <v>530</v>
      </c>
      <c r="Q72" s="66"/>
      <c r="R72" s="25"/>
      <c r="S72" s="36"/>
      <c r="T72" s="53">
        <f t="shared" si="5"/>
        <v>57894.5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/>
      <c r="C73" s="25" t="s">
        <v>990</v>
      </c>
      <c r="D73" s="25"/>
      <c r="E73" s="53"/>
      <c r="F73" s="68">
        <v>50000</v>
      </c>
      <c r="G73" s="25"/>
      <c r="H73" s="25"/>
      <c r="I73" s="65"/>
      <c r="J73" s="66"/>
      <c r="K73" s="66"/>
      <c r="L73" s="66"/>
      <c r="M73" s="66"/>
      <c r="N73" s="66"/>
      <c r="O73" s="66"/>
      <c r="P73" s="66"/>
      <c r="Q73" s="66"/>
      <c r="R73" s="25"/>
      <c r="S73" s="36"/>
      <c r="T73" s="53">
        <f>T72-E73+50000</f>
        <v>107894.5</v>
      </c>
      <c r="U73" s="42"/>
      <c r="V73" s="42"/>
      <c r="W73" s="42"/>
      <c r="X73" s="42"/>
      <c r="Y73" s="42"/>
    </row>
    <row r="74" ht="15.75" customHeight="1" spans="1:25" x14ac:dyDescent="0.25">
      <c r="A74" s="25" t="s">
        <v>991</v>
      </c>
      <c r="B74" s="35">
        <v>930</v>
      </c>
      <c r="C74" s="25" t="s">
        <v>962</v>
      </c>
      <c r="D74" s="25" t="s">
        <v>963</v>
      </c>
      <c r="E74" s="53">
        <v>53400</v>
      </c>
      <c r="F74" s="50"/>
      <c r="G74" s="35">
        <v>2215</v>
      </c>
      <c r="H74" s="35">
        <v>40</v>
      </c>
      <c r="I74" s="53">
        <v>88600</v>
      </c>
      <c r="J74" s="66"/>
      <c r="K74" s="66"/>
      <c r="L74" s="66"/>
      <c r="M74" s="66"/>
      <c r="N74" s="66"/>
      <c r="O74" s="66"/>
      <c r="P74" s="66"/>
      <c r="Q74" s="66"/>
      <c r="R74" s="25"/>
      <c r="S74" s="36"/>
      <c r="T74" s="53">
        <f t="shared" ref="T74:T99" si="6">T73-E74</f>
        <v>54494.5</v>
      </c>
      <c r="U74" s="42"/>
      <c r="V74" s="42"/>
      <c r="W74" s="42"/>
      <c r="X74" s="42"/>
      <c r="Y74" s="42"/>
    </row>
    <row r="75" ht="15.75" customHeight="1" spans="1:25" x14ac:dyDescent="0.25">
      <c r="A75" s="25" t="s">
        <v>992</v>
      </c>
      <c r="B75" s="35">
        <v>931</v>
      </c>
      <c r="C75" s="25" t="s">
        <v>993</v>
      </c>
      <c r="D75" s="25" t="s">
        <v>427</v>
      </c>
      <c r="E75" s="53">
        <v>5110</v>
      </c>
      <c r="F75" s="50"/>
      <c r="G75" s="35">
        <f>I75/H75</f>
        <v>73</v>
      </c>
      <c r="H75" s="35">
        <v>70</v>
      </c>
      <c r="I75" s="53">
        <v>5110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6"/>
        <v>49384.5</v>
      </c>
      <c r="U75" s="42"/>
      <c r="V75" s="42"/>
      <c r="W75" s="42"/>
      <c r="X75" s="42"/>
      <c r="Y75" s="42"/>
    </row>
    <row r="76" ht="15.75" customHeight="1" spans="1:25" x14ac:dyDescent="0.25">
      <c r="A76" s="25" t="s">
        <v>994</v>
      </c>
      <c r="B76" s="35">
        <v>932</v>
      </c>
      <c r="C76" s="25" t="s">
        <v>995</v>
      </c>
      <c r="D76" s="25" t="s">
        <v>846</v>
      </c>
      <c r="E76" s="53">
        <v>500</v>
      </c>
      <c r="F76" s="50"/>
      <c r="G76" s="35"/>
      <c r="H76" s="35"/>
      <c r="I76" s="53"/>
      <c r="J76" s="66"/>
      <c r="K76" s="67">
        <v>500</v>
      </c>
      <c r="L76" s="66"/>
      <c r="M76" s="66"/>
      <c r="N76" s="66"/>
      <c r="O76" s="66"/>
      <c r="P76" s="66"/>
      <c r="Q76" s="66"/>
      <c r="R76" s="25"/>
      <c r="S76" s="36"/>
      <c r="T76" s="53">
        <f t="shared" si="6"/>
        <v>48884.5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933</v>
      </c>
      <c r="C77" s="25" t="s">
        <v>996</v>
      </c>
      <c r="D77" s="25" t="s">
        <v>279</v>
      </c>
      <c r="E77" s="53">
        <v>565</v>
      </c>
      <c r="F77" s="50"/>
      <c r="G77" s="35"/>
      <c r="H77" s="35"/>
      <c r="I77" s="53"/>
      <c r="J77" s="66"/>
      <c r="K77" s="66"/>
      <c r="L77" s="66"/>
      <c r="M77" s="66"/>
      <c r="N77" s="66"/>
      <c r="O77" s="66">
        <v>565</v>
      </c>
      <c r="P77" s="66"/>
      <c r="Q77" s="66"/>
      <c r="R77" s="25"/>
      <c r="S77" s="36"/>
      <c r="T77" s="53">
        <f t="shared" si="6"/>
        <v>48319.5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934</v>
      </c>
      <c r="C78" s="25" t="s">
        <v>997</v>
      </c>
      <c r="D78" s="25" t="s">
        <v>295</v>
      </c>
      <c r="E78" s="53">
        <v>4400</v>
      </c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/>
      <c r="Q78" s="66"/>
      <c r="R78" s="25">
        <v>4400</v>
      </c>
      <c r="S78" s="36"/>
      <c r="T78" s="53">
        <f t="shared" si="6"/>
        <v>43919.5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935</v>
      </c>
      <c r="C79" s="25" t="s">
        <v>900</v>
      </c>
      <c r="D79" s="25" t="s">
        <v>119</v>
      </c>
      <c r="E79" s="53">
        <v>1000</v>
      </c>
      <c r="F79" s="50"/>
      <c r="G79" s="35"/>
      <c r="H79" s="25"/>
      <c r="I79" s="65"/>
      <c r="J79" s="66"/>
      <c r="K79" s="66"/>
      <c r="L79" s="66"/>
      <c r="M79" s="66">
        <v>1000</v>
      </c>
      <c r="N79" s="66"/>
      <c r="O79" s="66"/>
      <c r="P79" s="66"/>
      <c r="Q79" s="66"/>
      <c r="R79" s="25"/>
      <c r="S79" s="36"/>
      <c r="T79" s="53">
        <f t="shared" si="6"/>
        <v>42919.5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936</v>
      </c>
      <c r="C80" s="25" t="s">
        <v>998</v>
      </c>
      <c r="D80" s="25" t="s">
        <v>999</v>
      </c>
      <c r="E80" s="53">
        <v>650</v>
      </c>
      <c r="F80" s="68"/>
      <c r="G80" s="25"/>
      <c r="H80" s="25"/>
      <c r="I80" s="65"/>
      <c r="J80" s="66"/>
      <c r="K80" s="66"/>
      <c r="L80" s="66"/>
      <c r="M80" s="66"/>
      <c r="N80" s="66">
        <v>650</v>
      </c>
      <c r="O80" s="66"/>
      <c r="P80" s="67"/>
      <c r="Q80" s="66"/>
      <c r="R80" s="25"/>
      <c r="S80" s="36"/>
      <c r="T80" s="53">
        <f t="shared" si="6"/>
        <v>42269.5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937</v>
      </c>
      <c r="C81" s="25" t="s">
        <v>137</v>
      </c>
      <c r="D81" s="25" t="s">
        <v>138</v>
      </c>
      <c r="E81" s="53">
        <v>800</v>
      </c>
      <c r="F81" s="50"/>
      <c r="G81" s="35"/>
      <c r="H81" s="25"/>
      <c r="I81" s="65"/>
      <c r="J81" s="66"/>
      <c r="K81" s="66"/>
      <c r="L81" s="66"/>
      <c r="M81" s="66"/>
      <c r="N81" s="66"/>
      <c r="O81" s="66"/>
      <c r="P81" s="66"/>
      <c r="Q81" s="67"/>
      <c r="R81" s="25">
        <v>800</v>
      </c>
      <c r="S81" s="36"/>
      <c r="T81" s="53">
        <f t="shared" si="6"/>
        <v>41469.5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938</v>
      </c>
      <c r="C82" s="25" t="s">
        <v>13</v>
      </c>
      <c r="D82" s="25" t="s">
        <v>636</v>
      </c>
      <c r="E82" s="53">
        <v>2500</v>
      </c>
      <c r="F82" s="50"/>
      <c r="G82" s="35"/>
      <c r="H82" s="25"/>
      <c r="I82" s="65"/>
      <c r="J82" s="66"/>
      <c r="K82" s="66"/>
      <c r="L82" s="66"/>
      <c r="M82" s="66"/>
      <c r="N82" s="66"/>
      <c r="O82" s="66"/>
      <c r="P82" s="67"/>
      <c r="Q82" s="66">
        <v>2500</v>
      </c>
      <c r="R82" s="25"/>
      <c r="S82" s="36"/>
      <c r="T82" s="53">
        <f t="shared" si="6"/>
        <v>38969.5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>
        <v>939</v>
      </c>
      <c r="C83" s="25" t="s">
        <v>925</v>
      </c>
      <c r="D83" s="25" t="s">
        <v>257</v>
      </c>
      <c r="E83" s="53">
        <v>400</v>
      </c>
      <c r="F83" s="50"/>
      <c r="G83" s="35"/>
      <c r="H83" s="35"/>
      <c r="I83" s="53"/>
      <c r="J83" s="66"/>
      <c r="K83" s="66"/>
      <c r="L83" s="66"/>
      <c r="M83" s="66"/>
      <c r="N83" s="66"/>
      <c r="O83" s="66"/>
      <c r="P83" s="67">
        <v>400</v>
      </c>
      <c r="Q83" s="66"/>
      <c r="R83" s="25"/>
      <c r="S83" s="36"/>
      <c r="T83" s="53">
        <f t="shared" si="6"/>
        <v>38569.5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940</v>
      </c>
      <c r="C84" s="25" t="s">
        <v>912</v>
      </c>
      <c r="D84" s="25" t="s">
        <v>214</v>
      </c>
      <c r="E84" s="53">
        <v>860</v>
      </c>
      <c r="F84" s="50"/>
      <c r="G84" s="35"/>
      <c r="H84" s="35"/>
      <c r="I84" s="53"/>
      <c r="J84" s="66"/>
      <c r="K84" s="66"/>
      <c r="L84" s="66">
        <v>860</v>
      </c>
      <c r="M84" s="66"/>
      <c r="N84" s="66"/>
      <c r="O84" s="66"/>
      <c r="P84" s="67"/>
      <c r="Q84" s="66"/>
      <c r="R84" s="25"/>
      <c r="S84" s="36"/>
      <c r="T84" s="53">
        <f t="shared" si="6"/>
        <v>37709.5</v>
      </c>
      <c r="U84" s="42"/>
      <c r="V84" s="42"/>
      <c r="W84" s="42"/>
      <c r="X84" s="42"/>
      <c r="Y84" s="42"/>
    </row>
    <row r="85" ht="15.75" customHeight="1" spans="1:25" x14ac:dyDescent="0.25">
      <c r="A85" s="25" t="s">
        <v>1000</v>
      </c>
      <c r="B85" s="35">
        <v>941</v>
      </c>
      <c r="C85" s="25" t="s">
        <v>956</v>
      </c>
      <c r="D85" s="25" t="s">
        <v>957</v>
      </c>
      <c r="E85" s="53">
        <v>920</v>
      </c>
      <c r="F85" s="50"/>
      <c r="G85" s="35"/>
      <c r="H85" s="35"/>
      <c r="I85" s="53"/>
      <c r="J85" s="66"/>
      <c r="K85" s="66"/>
      <c r="L85" s="66"/>
      <c r="M85" s="66"/>
      <c r="N85" s="66"/>
      <c r="O85" s="66"/>
      <c r="P85" s="66">
        <v>920</v>
      </c>
      <c r="Q85" s="66"/>
      <c r="R85" s="25"/>
      <c r="S85" s="36"/>
      <c r="T85" s="53">
        <f t="shared" si="6"/>
        <v>36789.5</v>
      </c>
      <c r="U85" s="42"/>
      <c r="V85" s="42"/>
      <c r="W85" s="42"/>
      <c r="X85" s="42"/>
      <c r="Y85" s="42"/>
    </row>
    <row r="86" ht="15.75" customHeight="1" spans="1:25" x14ac:dyDescent="0.25">
      <c r="A86" s="25" t="s">
        <v>1001</v>
      </c>
      <c r="B86" s="35">
        <v>942</v>
      </c>
      <c r="C86" s="25" t="s">
        <v>1002</v>
      </c>
      <c r="D86" s="25" t="s">
        <v>1003</v>
      </c>
      <c r="E86" s="53">
        <v>690</v>
      </c>
      <c r="F86" s="50"/>
      <c r="G86" s="35"/>
      <c r="H86" s="35"/>
      <c r="I86" s="53"/>
      <c r="J86" s="66"/>
      <c r="K86" s="66"/>
      <c r="L86" s="66"/>
      <c r="M86" s="66"/>
      <c r="N86" s="66">
        <v>690</v>
      </c>
      <c r="O86" s="66"/>
      <c r="P86" s="66"/>
      <c r="Q86" s="66"/>
      <c r="R86" s="25"/>
      <c r="S86" s="36"/>
      <c r="T86" s="53">
        <f t="shared" si="6"/>
        <v>36099.5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943</v>
      </c>
      <c r="C87" s="25" t="s">
        <v>970</v>
      </c>
      <c r="D87" s="25" t="s">
        <v>610</v>
      </c>
      <c r="E87" s="53">
        <v>340</v>
      </c>
      <c r="F87" s="50"/>
      <c r="G87" s="25"/>
      <c r="H87" s="25"/>
      <c r="I87" s="65"/>
      <c r="J87" s="66"/>
      <c r="K87" s="66"/>
      <c r="L87" s="66"/>
      <c r="M87" s="66"/>
      <c r="N87" s="66"/>
      <c r="O87" s="66"/>
      <c r="P87" s="66">
        <v>340</v>
      </c>
      <c r="Q87" s="66"/>
      <c r="R87" s="25"/>
      <c r="S87" s="36"/>
      <c r="T87" s="53">
        <f t="shared" si="6"/>
        <v>35759.5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944</v>
      </c>
      <c r="C88" s="25" t="s">
        <v>1004</v>
      </c>
      <c r="D88" s="25" t="s">
        <v>279</v>
      </c>
      <c r="E88" s="53">
        <v>400</v>
      </c>
      <c r="F88" s="50"/>
      <c r="G88" s="25"/>
      <c r="H88" s="25"/>
      <c r="I88" s="65"/>
      <c r="J88" s="66"/>
      <c r="K88" s="66"/>
      <c r="L88" s="66"/>
      <c r="M88" s="66"/>
      <c r="N88" s="66"/>
      <c r="O88" s="66">
        <v>400</v>
      </c>
      <c r="P88" s="66"/>
      <c r="Q88" s="66"/>
      <c r="R88" s="25"/>
      <c r="S88" s="36"/>
      <c r="T88" s="53">
        <f t="shared" si="6"/>
        <v>35359.5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945</v>
      </c>
      <c r="C89" s="25" t="s">
        <v>910</v>
      </c>
      <c r="D89" s="25" t="s">
        <v>52</v>
      </c>
      <c r="E89" s="53">
        <v>1500</v>
      </c>
      <c r="F89" s="50"/>
      <c r="G89" s="25">
        <v>100</v>
      </c>
      <c r="H89" s="25">
        <v>150</v>
      </c>
      <c r="I89" s="65">
        <v>1500</v>
      </c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6"/>
        <v>33859.5</v>
      </c>
      <c r="U89" s="42"/>
      <c r="V89" s="42"/>
      <c r="W89" s="42"/>
      <c r="X89" s="42"/>
      <c r="Y89" s="42"/>
    </row>
    <row r="90" ht="15.75" customHeight="1" spans="1:25" x14ac:dyDescent="0.25">
      <c r="A90" s="25" t="s">
        <v>1005</v>
      </c>
      <c r="B90" s="35">
        <v>946</v>
      </c>
      <c r="C90" s="25" t="s">
        <v>630</v>
      </c>
      <c r="D90" s="25" t="s">
        <v>618</v>
      </c>
      <c r="E90" s="53">
        <v>18200</v>
      </c>
      <c r="F90" s="50"/>
      <c r="G90" s="35">
        <v>182</v>
      </c>
      <c r="H90" s="35">
        <v>100</v>
      </c>
      <c r="I90" s="53">
        <v>18200</v>
      </c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6"/>
        <v>15659.5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>
        <v>947</v>
      </c>
      <c r="C91" s="25" t="s">
        <v>1006</v>
      </c>
      <c r="D91" s="25" t="s">
        <v>28</v>
      </c>
      <c r="E91" s="53">
        <v>2100</v>
      </c>
      <c r="F91" s="50"/>
      <c r="G91" s="35"/>
      <c r="H91" s="35"/>
      <c r="I91" s="53"/>
      <c r="J91" s="66"/>
      <c r="K91" s="66"/>
      <c r="L91" s="66">
        <v>2100</v>
      </c>
      <c r="M91" s="66"/>
      <c r="N91" s="66"/>
      <c r="O91" s="66"/>
      <c r="P91" s="66"/>
      <c r="Q91" s="66"/>
      <c r="R91" s="25"/>
      <c r="S91" s="36"/>
      <c r="T91" s="53">
        <f t="shared" si="6"/>
        <v>13559.5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948</v>
      </c>
      <c r="C92" s="25" t="s">
        <v>94</v>
      </c>
      <c r="D92" s="25" t="s">
        <v>420</v>
      </c>
      <c r="E92" s="53">
        <v>3750</v>
      </c>
      <c r="F92" s="50"/>
      <c r="G92" s="35">
        <v>25</v>
      </c>
      <c r="H92" s="35">
        <v>150</v>
      </c>
      <c r="I92" s="53">
        <v>3750</v>
      </c>
      <c r="J92" s="66"/>
      <c r="K92" s="66"/>
      <c r="L92" s="66"/>
      <c r="M92" s="66"/>
      <c r="N92" s="66"/>
      <c r="O92" s="66"/>
      <c r="P92" s="66"/>
      <c r="Q92" s="66"/>
      <c r="R92" s="25"/>
      <c r="S92" s="36"/>
      <c r="T92" s="53">
        <f t="shared" si="6"/>
        <v>9809.5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949</v>
      </c>
      <c r="C93" s="25" t="s">
        <v>1007</v>
      </c>
      <c r="D93" s="25" t="s">
        <v>963</v>
      </c>
      <c r="E93" s="53">
        <v>10000</v>
      </c>
      <c r="F93" s="50"/>
      <c r="G93" s="35"/>
      <c r="H93" s="35"/>
      <c r="I93" s="53"/>
      <c r="J93" s="66"/>
      <c r="K93" s="66"/>
      <c r="L93" s="66"/>
      <c r="M93" s="66"/>
      <c r="N93" s="66"/>
      <c r="O93" s="66"/>
      <c r="P93" s="66"/>
      <c r="Q93" s="66"/>
      <c r="R93" s="25"/>
      <c r="S93" s="36"/>
      <c r="T93" s="53">
        <f t="shared" si="6"/>
        <v>-190.5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/>
      <c r="C94" s="25"/>
      <c r="D94" s="25"/>
      <c r="E94" s="53"/>
      <c r="F94" s="50"/>
      <c r="G94" s="35"/>
      <c r="H94" s="35"/>
      <c r="I94" s="53"/>
      <c r="J94" s="66"/>
      <c r="K94" s="66"/>
      <c r="L94" s="66"/>
      <c r="M94" s="66"/>
      <c r="N94" s="66"/>
      <c r="O94" s="66"/>
      <c r="P94" s="66"/>
      <c r="Q94" s="66"/>
      <c r="R94" s="25"/>
      <c r="S94" s="36"/>
      <c r="T94" s="53">
        <f t="shared" si="6"/>
        <v>-190.5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/>
      <c r="C95" s="25"/>
      <c r="D95" s="25"/>
      <c r="E95" s="53"/>
      <c r="F95" s="50"/>
      <c r="G95" s="35"/>
      <c r="H95" s="35"/>
      <c r="I95" s="53"/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6"/>
        <v>-190.5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/>
      <c r="C96" s="25"/>
      <c r="D96" s="25"/>
      <c r="E96" s="53"/>
      <c r="F96" s="50"/>
      <c r="G96" s="35"/>
      <c r="H96" s="35"/>
      <c r="I96" s="53"/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6"/>
        <v>-190.5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/>
      <c r="C97" s="25"/>
      <c r="D97" s="25"/>
      <c r="E97" s="53"/>
      <c r="F97" s="50"/>
      <c r="G97" s="25"/>
      <c r="H97" s="25"/>
      <c r="I97" s="53"/>
      <c r="J97" s="66"/>
      <c r="K97" s="66"/>
      <c r="L97" s="66"/>
      <c r="M97" s="67"/>
      <c r="N97" s="66"/>
      <c r="O97" s="66"/>
      <c r="P97" s="66"/>
      <c r="Q97" s="66"/>
      <c r="R97" s="25"/>
      <c r="S97" s="36"/>
      <c r="T97" s="53">
        <f t="shared" si="6"/>
        <v>-190.5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/>
      <c r="C98" s="25"/>
      <c r="D98" s="25"/>
      <c r="E98" s="53"/>
      <c r="F98" s="50"/>
      <c r="G98" s="25"/>
      <c r="H98" s="25"/>
      <c r="I98" s="53"/>
      <c r="J98" s="66"/>
      <c r="K98" s="66"/>
      <c r="L98" s="66"/>
      <c r="M98" s="66"/>
      <c r="N98" s="66"/>
      <c r="O98" s="66"/>
      <c r="P98" s="67"/>
      <c r="Q98" s="66"/>
      <c r="R98" s="25"/>
      <c r="S98" s="36"/>
      <c r="T98" s="53">
        <f t="shared" si="6"/>
        <v>-190.5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/>
      <c r="C99" s="25"/>
      <c r="D99" s="25"/>
      <c r="E99" s="53"/>
      <c r="F99" s="50"/>
      <c r="G99" s="35"/>
      <c r="H99" s="35"/>
      <c r="I99" s="53"/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6"/>
        <v>-190.5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/>
      <c r="C100" s="25"/>
      <c r="D100" s="25"/>
      <c r="E100" s="53"/>
      <c r="F100" s="50"/>
      <c r="G100" s="35"/>
      <c r="H100" s="35"/>
      <c r="I100" s="53"/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>T99-E100+150000</f>
        <v>149809.5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/>
      <c r="C101" s="25"/>
      <c r="D101" s="25"/>
      <c r="E101" s="53"/>
      <c r="F101" s="50"/>
      <c r="G101" s="35"/>
      <c r="H101" s="35"/>
      <c r="I101" s="53"/>
      <c r="J101" s="66"/>
      <c r="K101" s="66"/>
      <c r="L101" s="67"/>
      <c r="M101" s="66"/>
      <c r="N101" s="66"/>
      <c r="O101" s="66"/>
      <c r="P101" s="66"/>
      <c r="Q101" s="66"/>
      <c r="R101" s="25"/>
      <c r="S101" s="36"/>
      <c r="T101" s="53">
        <f t="shared" ref="T101:T118" si="7">T100-E101</f>
        <v>149809.5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/>
      <c r="C102" s="25"/>
      <c r="D102" s="25"/>
      <c r="E102" s="53"/>
      <c r="F102" s="50"/>
      <c r="G102" s="25"/>
      <c r="H102" s="25"/>
      <c r="I102" s="53"/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si="7"/>
        <v>149809.5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/>
      <c r="C103" s="25"/>
      <c r="D103" s="25"/>
      <c r="E103" s="53"/>
      <c r="F103" s="50"/>
      <c r="G103" s="35"/>
      <c r="H103" s="35"/>
      <c r="I103" s="53"/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7"/>
        <v>149809.5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0"/>
      <c r="C104" s="25"/>
      <c r="D104" s="25"/>
      <c r="E104" s="53"/>
      <c r="F104" s="50"/>
      <c r="G104" s="35"/>
      <c r="H104" s="35"/>
      <c r="I104" s="53"/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7"/>
        <v>149809.5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0"/>
      <c r="C105" s="25"/>
      <c r="D105" s="25"/>
      <c r="E105" s="53"/>
      <c r="F105" s="68"/>
      <c r="G105" s="25"/>
      <c r="H105" s="25"/>
      <c r="I105" s="53"/>
      <c r="J105" s="66"/>
      <c r="K105" s="66"/>
      <c r="L105" s="66"/>
      <c r="M105" s="66"/>
      <c r="N105" s="66"/>
      <c r="O105" s="66"/>
      <c r="P105" s="66"/>
      <c r="Q105" s="67"/>
      <c r="R105" s="25"/>
      <c r="S105" s="36"/>
      <c r="T105" s="53">
        <f t="shared" si="7"/>
        <v>149809.5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0"/>
      <c r="C106" s="25"/>
      <c r="D106" s="25"/>
      <c r="E106" s="53"/>
      <c r="F106" s="50"/>
      <c r="G106" s="35"/>
      <c r="H106" s="35"/>
      <c r="I106" s="53"/>
      <c r="J106" s="66"/>
      <c r="K106" s="66"/>
      <c r="L106" s="66"/>
      <c r="M106" s="66"/>
      <c r="N106" s="66"/>
      <c r="O106" s="66"/>
      <c r="P106" s="67"/>
      <c r="Q106" s="66"/>
      <c r="R106" s="25"/>
      <c r="S106" s="36"/>
      <c r="T106" s="53">
        <f t="shared" si="7"/>
        <v>149809.5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/>
      <c r="C107" s="25"/>
      <c r="D107" s="25"/>
      <c r="E107" s="53"/>
      <c r="F107" s="50"/>
      <c r="G107" s="35"/>
      <c r="H107" s="35"/>
      <c r="I107" s="53"/>
      <c r="J107" s="66"/>
      <c r="K107" s="66"/>
      <c r="L107" s="66"/>
      <c r="M107" s="66"/>
      <c r="N107" s="66"/>
      <c r="O107" s="66"/>
      <c r="P107" s="67"/>
      <c r="Q107" s="66"/>
      <c r="R107" s="25"/>
      <c r="S107" s="36"/>
      <c r="T107" s="53">
        <f t="shared" si="7"/>
        <v>149809.5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/>
      <c r="C108" s="25"/>
      <c r="D108" s="25"/>
      <c r="E108" s="53"/>
      <c r="F108" s="50"/>
      <c r="G108" s="35"/>
      <c r="H108" s="35"/>
      <c r="I108" s="53"/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7"/>
        <v>149809.5</v>
      </c>
      <c r="U108" s="42"/>
      <c r="V108" s="42"/>
      <c r="W108" s="42"/>
      <c r="X108" s="42"/>
      <c r="Y108" s="42"/>
    </row>
    <row r="109" ht="15.75" customHeight="1" spans="1:25" x14ac:dyDescent="0.25">
      <c r="A109" s="25"/>
      <c r="B109" s="35"/>
      <c r="C109" s="25"/>
      <c r="D109" s="25"/>
      <c r="E109" s="53"/>
      <c r="F109" s="50"/>
      <c r="G109" s="35"/>
      <c r="H109" s="25"/>
      <c r="I109" s="53"/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7"/>
        <v>149809.5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/>
      <c r="C110" s="25"/>
      <c r="D110" s="25"/>
      <c r="E110" s="53"/>
      <c r="F110" s="50"/>
      <c r="G110" s="35"/>
      <c r="H110" s="35"/>
      <c r="I110" s="53"/>
      <c r="J110" s="66"/>
      <c r="K110" s="67"/>
      <c r="L110" s="66"/>
      <c r="M110" s="66"/>
      <c r="N110" s="66"/>
      <c r="O110" s="66"/>
      <c r="P110" s="66"/>
      <c r="Q110" s="66"/>
      <c r="R110" s="25"/>
      <c r="S110" s="36"/>
      <c r="T110" s="53">
        <f t="shared" si="7"/>
        <v>149809.5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/>
      <c r="C111" s="25"/>
      <c r="D111" s="25"/>
      <c r="E111" s="53"/>
      <c r="F111" s="50"/>
      <c r="G111" s="35"/>
      <c r="H111" s="35"/>
      <c r="I111" s="53"/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7"/>
        <v>149809.5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/>
      <c r="C112" s="25"/>
      <c r="D112" s="25"/>
      <c r="E112" s="53"/>
      <c r="F112" s="50"/>
      <c r="G112" s="25"/>
      <c r="H112" s="25"/>
      <c r="I112" s="53"/>
      <c r="J112" s="66"/>
      <c r="K112" s="66"/>
      <c r="L112" s="66"/>
      <c r="M112" s="66"/>
      <c r="N112" s="66"/>
      <c r="O112" s="66"/>
      <c r="P112" s="66"/>
      <c r="Q112" s="66"/>
      <c r="R112" s="25"/>
      <c r="S112" s="36"/>
      <c r="T112" s="53">
        <f t="shared" si="7"/>
        <v>149809.5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/>
      <c r="C113" s="25"/>
      <c r="D113" s="25"/>
      <c r="E113" s="53"/>
      <c r="F113" s="50"/>
      <c r="G113" s="25"/>
      <c r="H113" s="25"/>
      <c r="I113" s="53"/>
      <c r="J113" s="66"/>
      <c r="K113" s="67"/>
      <c r="L113" s="66"/>
      <c r="M113" s="66"/>
      <c r="N113" s="66"/>
      <c r="O113" s="66"/>
      <c r="P113" s="66"/>
      <c r="Q113" s="66"/>
      <c r="R113" s="25"/>
      <c r="S113" s="36"/>
      <c r="T113" s="53">
        <f t="shared" si="7"/>
        <v>149809.5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/>
      <c r="C114" s="25"/>
      <c r="D114" s="25"/>
      <c r="E114" s="53"/>
      <c r="F114" s="50"/>
      <c r="G114" s="25"/>
      <c r="H114" s="25"/>
      <c r="I114" s="53"/>
      <c r="J114" s="66"/>
      <c r="K114" s="67"/>
      <c r="L114" s="66"/>
      <c r="M114" s="66"/>
      <c r="N114" s="66"/>
      <c r="O114" s="66"/>
      <c r="P114" s="66"/>
      <c r="Q114" s="66"/>
      <c r="R114" s="25"/>
      <c r="S114" s="36"/>
      <c r="T114" s="53">
        <f t="shared" si="7"/>
        <v>149809.5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/>
      <c r="C115" s="25"/>
      <c r="D115" s="23"/>
      <c r="E115" s="54"/>
      <c r="F115" s="50"/>
      <c r="G115" s="25"/>
      <c r="H115" s="25"/>
      <c r="I115" s="53"/>
      <c r="J115" s="66"/>
      <c r="K115" s="67"/>
      <c r="L115" s="66"/>
      <c r="M115" s="66"/>
      <c r="N115" s="66"/>
      <c r="O115" s="66"/>
      <c r="P115" s="66"/>
      <c r="Q115" s="66"/>
      <c r="R115" s="25"/>
      <c r="S115" s="36"/>
      <c r="T115" s="53">
        <f t="shared" si="7"/>
        <v>149809.5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/>
      <c r="C116" s="25"/>
      <c r="D116" s="25"/>
      <c r="E116" s="54"/>
      <c r="F116" s="50"/>
      <c r="G116" s="35"/>
      <c r="H116" s="35"/>
      <c r="I116" s="53"/>
      <c r="J116" s="66"/>
      <c r="K116" s="67"/>
      <c r="L116" s="66"/>
      <c r="M116" s="66"/>
      <c r="N116" s="66"/>
      <c r="O116" s="66"/>
      <c r="P116" s="66"/>
      <c r="Q116" s="66"/>
      <c r="R116" s="25"/>
      <c r="S116" s="55"/>
      <c r="T116" s="53">
        <f t="shared" si="7"/>
        <v>149809.5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/>
      <c r="C117" s="25"/>
      <c r="D117" s="25"/>
      <c r="E117" s="53"/>
      <c r="F117" s="50"/>
      <c r="G117" s="25"/>
      <c r="H117" s="25"/>
      <c r="I117" s="65"/>
      <c r="J117" s="66"/>
      <c r="K117" s="66"/>
      <c r="L117" s="67"/>
      <c r="M117" s="66"/>
      <c r="N117" s="66"/>
      <c r="O117" s="66"/>
      <c r="P117" s="66"/>
      <c r="Q117" s="66"/>
      <c r="R117" s="25"/>
      <c r="S117" s="55"/>
      <c r="T117" s="53">
        <f t="shared" si="7"/>
        <v>149809.5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/>
      <c r="C118" s="25"/>
      <c r="D118" s="25"/>
      <c r="E118" s="53"/>
      <c r="F118" s="50"/>
      <c r="G118" s="25"/>
      <c r="H118" s="25"/>
      <c r="I118" s="65"/>
      <c r="J118" s="66"/>
      <c r="K118" s="66"/>
      <c r="L118" s="66"/>
      <c r="M118" s="67"/>
      <c r="N118" s="66"/>
      <c r="O118" s="66"/>
      <c r="P118" s="66"/>
      <c r="Q118" s="66"/>
      <c r="R118" s="25"/>
      <c r="S118" s="55"/>
      <c r="T118" s="53">
        <f t="shared" si="7"/>
        <v>149809.5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/>
      <c r="C119" s="25"/>
      <c r="D119" s="25"/>
      <c r="E119" s="53"/>
      <c r="F119" s="50"/>
      <c r="G119" s="25"/>
      <c r="H119" s="25"/>
      <c r="I119" s="65"/>
      <c r="J119" s="66"/>
      <c r="K119" s="66"/>
      <c r="L119" s="66"/>
      <c r="M119" s="66"/>
      <c r="N119" s="66"/>
      <c r="O119" s="66"/>
      <c r="P119" s="67"/>
      <c r="Q119" s="66"/>
      <c r="R119" s="25"/>
      <c r="S119" s="55"/>
      <c r="T119" s="53"/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/>
      <c r="C120" s="25"/>
      <c r="D120" s="25"/>
      <c r="E120" s="53"/>
      <c r="F120" s="50"/>
      <c r="G120" s="35"/>
      <c r="H120" s="25"/>
      <c r="I120" s="65"/>
      <c r="J120" s="66"/>
      <c r="K120" s="66"/>
      <c r="L120" s="66"/>
      <c r="M120" s="66"/>
      <c r="N120" s="66"/>
      <c r="O120" s="66"/>
      <c r="P120" s="67"/>
      <c r="Q120" s="66"/>
      <c r="R120" s="25"/>
      <c r="S120" s="55"/>
      <c r="T120" s="53">
        <f t="shared" ref="T120:T176" si="8">T119-E120</f>
        <v>0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/>
      <c r="C121" s="25"/>
      <c r="D121" s="25"/>
      <c r="E121" s="53"/>
      <c r="F121" s="50"/>
      <c r="G121" s="35"/>
      <c r="H121" s="25"/>
      <c r="I121" s="65"/>
      <c r="J121" s="66"/>
      <c r="K121" s="66"/>
      <c r="L121" s="66"/>
      <c r="M121" s="66"/>
      <c r="N121" s="66"/>
      <c r="O121" s="66"/>
      <c r="P121" s="66"/>
      <c r="Q121" s="67"/>
      <c r="R121" s="25"/>
      <c r="S121" s="55"/>
      <c r="T121" s="53">
        <f t="shared" si="8"/>
        <v>0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/>
      <c r="C122" s="25"/>
      <c r="D122" s="25"/>
      <c r="E122" s="53"/>
      <c r="F122" s="50"/>
      <c r="G122" s="35"/>
      <c r="H122" s="25"/>
      <c r="I122" s="65"/>
      <c r="J122" s="66"/>
      <c r="K122" s="66"/>
      <c r="L122" s="66"/>
      <c r="M122" s="66"/>
      <c r="N122" s="66"/>
      <c r="O122" s="66"/>
      <c r="P122" s="67"/>
      <c r="Q122" s="66"/>
      <c r="R122" s="25"/>
      <c r="S122" s="55"/>
      <c r="T122" s="53">
        <f t="shared" si="8"/>
        <v>0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/>
      <c r="C123" s="25"/>
      <c r="D123" s="25"/>
      <c r="E123" s="53"/>
      <c r="F123" s="50"/>
      <c r="G123" s="35"/>
      <c r="H123" s="25"/>
      <c r="I123" s="65"/>
      <c r="J123" s="66"/>
      <c r="K123" s="66"/>
      <c r="L123" s="66"/>
      <c r="M123" s="66"/>
      <c r="N123" s="66"/>
      <c r="O123" s="66"/>
      <c r="P123" s="66"/>
      <c r="Q123" s="66"/>
      <c r="R123" s="25"/>
      <c r="S123" s="36"/>
      <c r="T123" s="53">
        <f t="shared" si="8"/>
        <v>0</v>
      </c>
      <c r="U123" s="42"/>
      <c r="V123" s="42"/>
      <c r="W123" s="42"/>
      <c r="X123" s="42"/>
      <c r="Y123" s="42"/>
    </row>
    <row r="124" ht="15.75" customHeight="1" spans="1:25" x14ac:dyDescent="0.25">
      <c r="A124" s="25"/>
      <c r="B124" s="35"/>
      <c r="C124" s="25"/>
      <c r="D124" s="25"/>
      <c r="E124" s="53"/>
      <c r="F124" s="50"/>
      <c r="G124" s="35"/>
      <c r="H124" s="35"/>
      <c r="I124" s="53"/>
      <c r="J124" s="66"/>
      <c r="K124" s="66"/>
      <c r="L124" s="66"/>
      <c r="M124" s="66"/>
      <c r="N124" s="66"/>
      <c r="O124" s="66"/>
      <c r="P124" s="66"/>
      <c r="Q124" s="66"/>
      <c r="R124" s="25"/>
      <c r="S124" s="36"/>
      <c r="T124" s="53">
        <f t="shared" si="8"/>
        <v>0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/>
      <c r="C125" s="25"/>
      <c r="D125" s="25"/>
      <c r="E125" s="53"/>
      <c r="F125" s="50"/>
      <c r="G125" s="25"/>
      <c r="H125" s="25"/>
      <c r="I125" s="65"/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8"/>
        <v>0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/>
      <c r="C126" s="25"/>
      <c r="D126" s="25"/>
      <c r="E126" s="53"/>
      <c r="F126" s="50"/>
      <c r="G126" s="25"/>
      <c r="H126" s="25"/>
      <c r="I126" s="65"/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8"/>
        <v>0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/>
      <c r="C127" s="25"/>
      <c r="D127" s="25"/>
      <c r="E127" s="53"/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/>
      <c r="Q127" s="66"/>
      <c r="R127" s="25"/>
      <c r="S127" s="36"/>
      <c r="T127" s="53">
        <f t="shared" si="8"/>
        <v>0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/>
      <c r="C128" s="25"/>
      <c r="D128" s="25"/>
      <c r="E128" s="53"/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/>
      <c r="Q128" s="66"/>
      <c r="R128" s="25"/>
      <c r="S128" s="36"/>
      <c r="T128" s="53">
        <f t="shared" si="8"/>
        <v>0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/>
      <c r="C129" s="25"/>
      <c r="D129" s="25"/>
      <c r="E129" s="53"/>
      <c r="F129" s="50"/>
      <c r="G129" s="35"/>
      <c r="H129" s="35"/>
      <c r="I129" s="53"/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8"/>
        <v>0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/>
      <c r="C130" s="25"/>
      <c r="D130" s="25"/>
      <c r="E130" s="53"/>
      <c r="F130" s="50"/>
      <c r="G130" s="35"/>
      <c r="H130" s="35"/>
      <c r="I130" s="53"/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 t="shared" si="8"/>
        <v>0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/>
      <c r="C131" s="25"/>
      <c r="D131" s="25"/>
      <c r="E131" s="53"/>
      <c r="F131" s="50"/>
      <c r="G131" s="35"/>
      <c r="H131" s="35"/>
      <c r="I131" s="53"/>
      <c r="J131" s="66"/>
      <c r="K131" s="66"/>
      <c r="L131" s="66"/>
      <c r="M131" s="66"/>
      <c r="N131" s="66"/>
      <c r="O131" s="66"/>
      <c r="P131" s="67"/>
      <c r="Q131" s="66"/>
      <c r="R131" s="25"/>
      <c r="S131" s="36"/>
      <c r="T131" s="53">
        <f t="shared" si="8"/>
        <v>0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/>
      <c r="C132" s="25"/>
      <c r="D132" s="25"/>
      <c r="E132" s="53"/>
      <c r="F132" s="50"/>
      <c r="G132" s="35"/>
      <c r="H132" s="35"/>
      <c r="I132" s="53"/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8"/>
        <v>0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/>
      <c r="C133" s="25"/>
      <c r="D133" s="25"/>
      <c r="E133" s="53"/>
      <c r="F133" s="50"/>
      <c r="G133" s="35"/>
      <c r="H133" s="25"/>
      <c r="I133" s="65"/>
      <c r="J133" s="66"/>
      <c r="K133" s="66"/>
      <c r="L133" s="66"/>
      <c r="M133" s="67"/>
      <c r="N133" s="66"/>
      <c r="O133" s="66"/>
      <c r="P133" s="66"/>
      <c r="Q133" s="66"/>
      <c r="R133" s="25"/>
      <c r="S133" s="36"/>
      <c r="T133" s="53">
        <f t="shared" si="8"/>
        <v>0</v>
      </c>
      <c r="U133" s="42"/>
      <c r="V133" s="42"/>
      <c r="W133" s="42"/>
      <c r="X133" s="42"/>
      <c r="Y133" s="42"/>
    </row>
    <row r="134" ht="15.75" customHeight="1" spans="1:25" x14ac:dyDescent="0.25">
      <c r="A134" s="26"/>
      <c r="B134" s="29"/>
      <c r="C134" s="26"/>
      <c r="D134" s="26"/>
      <c r="E134" s="56"/>
      <c r="F134" s="57"/>
      <c r="G134" s="29"/>
      <c r="H134" s="25"/>
      <c r="I134" s="65"/>
      <c r="J134" s="66"/>
      <c r="K134" s="67"/>
      <c r="L134" s="66"/>
      <c r="M134" s="66"/>
      <c r="N134" s="66"/>
      <c r="O134" s="66"/>
      <c r="P134" s="66"/>
      <c r="Q134" s="66"/>
      <c r="R134" s="25"/>
      <c r="S134" s="36"/>
      <c r="T134" s="53">
        <f t="shared" si="8"/>
        <v>0</v>
      </c>
      <c r="U134" s="42"/>
      <c r="V134" s="42"/>
      <c r="W134" s="42"/>
      <c r="X134" s="42"/>
      <c r="Y134" s="42"/>
    </row>
    <row r="135" ht="15.75" customHeight="1" spans="1:25" x14ac:dyDescent="0.25">
      <c r="A135" s="26"/>
      <c r="B135" s="29"/>
      <c r="C135" s="26"/>
      <c r="D135" s="26"/>
      <c r="E135" s="56"/>
      <c r="F135" s="57"/>
      <c r="G135" s="26"/>
      <c r="H135" s="25"/>
      <c r="I135" s="65"/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si="8"/>
        <v>0</v>
      </c>
      <c r="U135" s="42"/>
      <c r="V135" s="42"/>
      <c r="W135" s="42"/>
      <c r="X135" s="42"/>
      <c r="Y135" s="42"/>
    </row>
    <row r="136" ht="15.75" customHeight="1" spans="1:25" x14ac:dyDescent="0.25">
      <c r="A136" s="26"/>
      <c r="B136" s="29"/>
      <c r="C136" s="26"/>
      <c r="D136" s="26"/>
      <c r="E136" s="56"/>
      <c r="F136" s="57"/>
      <c r="G136" s="26"/>
      <c r="H136" s="25"/>
      <c r="I136" s="65"/>
      <c r="J136" s="66"/>
      <c r="K136" s="66"/>
      <c r="L136" s="66"/>
      <c r="M136" s="66"/>
      <c r="N136" s="66"/>
      <c r="O136" s="66"/>
      <c r="P136" s="66"/>
      <c r="Q136" s="66"/>
      <c r="R136" s="35"/>
      <c r="S136" s="36"/>
      <c r="T136" s="53">
        <f t="shared" si="8"/>
        <v>0</v>
      </c>
      <c r="U136" s="42"/>
      <c r="V136" s="42"/>
      <c r="W136" s="42"/>
      <c r="X136" s="42"/>
      <c r="Y136" s="42"/>
    </row>
    <row r="137" ht="15.75" customHeight="1" spans="1:25" x14ac:dyDescent="0.25">
      <c r="A137" s="26"/>
      <c r="B137" s="29"/>
      <c r="C137" s="26"/>
      <c r="D137" s="26"/>
      <c r="E137" s="56"/>
      <c r="F137" s="57"/>
      <c r="G137" s="29"/>
      <c r="H137" s="25"/>
      <c r="I137" s="65"/>
      <c r="J137" s="66"/>
      <c r="K137" s="66"/>
      <c r="L137" s="66"/>
      <c r="M137" s="66"/>
      <c r="N137" s="66"/>
      <c r="O137" s="66"/>
      <c r="P137" s="66"/>
      <c r="Q137" s="66"/>
      <c r="R137" s="25"/>
      <c r="S137" s="36"/>
      <c r="T137" s="53">
        <f t="shared" si="8"/>
        <v>0</v>
      </c>
      <c r="U137" s="42"/>
      <c r="V137" s="42"/>
      <c r="W137" s="42"/>
      <c r="X137" s="42"/>
      <c r="Y137" s="42"/>
    </row>
    <row r="138" ht="15.75" customHeight="1" spans="1:25" x14ac:dyDescent="0.25">
      <c r="A138" s="26"/>
      <c r="B138" s="29"/>
      <c r="C138" s="26"/>
      <c r="D138" s="26"/>
      <c r="E138" s="56"/>
      <c r="F138" s="57"/>
      <c r="G138" s="29"/>
      <c r="H138" s="25"/>
      <c r="I138" s="65"/>
      <c r="J138" s="66"/>
      <c r="K138" s="66"/>
      <c r="L138" s="66"/>
      <c r="M138" s="66"/>
      <c r="N138" s="66"/>
      <c r="O138" s="66"/>
      <c r="P138" s="66"/>
      <c r="Q138" s="66"/>
      <c r="R138" s="25"/>
      <c r="S138" s="36"/>
      <c r="T138" s="53">
        <f t="shared" si="8"/>
        <v>0</v>
      </c>
      <c r="U138" s="42"/>
      <c r="V138" s="42"/>
      <c r="W138" s="42"/>
      <c r="X138" s="42"/>
      <c r="Y138" s="42"/>
    </row>
    <row r="139" ht="15.75" customHeight="1" spans="1:25" x14ac:dyDescent="0.25">
      <c r="A139" s="26"/>
      <c r="B139" s="29"/>
      <c r="C139" s="26"/>
      <c r="D139" s="26"/>
      <c r="E139" s="56"/>
      <c r="F139" s="57"/>
      <c r="G139" s="29"/>
      <c r="H139" s="25"/>
      <c r="I139" s="65"/>
      <c r="J139" s="66"/>
      <c r="K139" s="66"/>
      <c r="L139" s="66"/>
      <c r="M139" s="66"/>
      <c r="N139" s="66"/>
      <c r="O139" s="66"/>
      <c r="P139" s="67"/>
      <c r="Q139" s="66"/>
      <c r="R139" s="25"/>
      <c r="S139" s="36"/>
      <c r="T139" s="53">
        <f t="shared" si="8"/>
        <v>0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/>
      <c r="C140" s="25"/>
      <c r="D140" s="25"/>
      <c r="E140" s="53"/>
      <c r="F140" s="50"/>
      <c r="G140" s="35"/>
      <c r="H140" s="35"/>
      <c r="I140" s="53"/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8"/>
        <v>0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/>
      <c r="C141" s="25"/>
      <c r="D141" s="25"/>
      <c r="E141" s="53"/>
      <c r="F141" s="50"/>
      <c r="G141" s="35"/>
      <c r="H141" s="25"/>
      <c r="I141" s="65"/>
      <c r="J141" s="66"/>
      <c r="K141" s="66"/>
      <c r="L141" s="66"/>
      <c r="M141" s="67"/>
      <c r="N141" s="66"/>
      <c r="O141" s="66"/>
      <c r="P141" s="66"/>
      <c r="Q141" s="66"/>
      <c r="R141" s="25"/>
      <c r="S141" s="36"/>
      <c r="T141" s="53">
        <f t="shared" si="8"/>
        <v>0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/>
      <c r="C142" s="25"/>
      <c r="D142" s="25"/>
      <c r="E142" s="53"/>
      <c r="F142" s="50"/>
      <c r="G142" s="35"/>
      <c r="H142" s="25"/>
      <c r="I142" s="65"/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8"/>
        <v>0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/>
      <c r="C143" s="25"/>
      <c r="D143" s="25"/>
      <c r="E143" s="53"/>
      <c r="F143" s="50"/>
      <c r="G143" s="25"/>
      <c r="H143" s="25"/>
      <c r="I143" s="65"/>
      <c r="J143" s="66"/>
      <c r="K143" s="66"/>
      <c r="L143" s="66"/>
      <c r="M143" s="66"/>
      <c r="N143" s="66"/>
      <c r="O143" s="66"/>
      <c r="P143" s="66"/>
      <c r="Q143" s="67"/>
      <c r="R143" s="25"/>
      <c r="S143" s="36"/>
      <c r="T143" s="53">
        <f t="shared" si="8"/>
        <v>0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/>
      <c r="C144" s="25"/>
      <c r="D144" s="25"/>
      <c r="E144" s="53"/>
      <c r="F144" s="68"/>
      <c r="G144" s="35"/>
      <c r="H144" s="35"/>
      <c r="I144" s="53"/>
      <c r="J144" s="66"/>
      <c r="K144" s="66"/>
      <c r="L144" s="66"/>
      <c r="M144" s="66"/>
      <c r="N144" s="66"/>
      <c r="O144" s="66"/>
      <c r="P144" s="66"/>
      <c r="Q144" s="66"/>
      <c r="R144" s="25"/>
      <c r="S144" s="36"/>
      <c r="T144" s="53">
        <f t="shared" si="8"/>
        <v>0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/>
      <c r="C145" s="25"/>
      <c r="D145" s="25"/>
      <c r="E145" s="53"/>
      <c r="F145" s="50"/>
      <c r="G145" s="35"/>
      <c r="H145" s="35"/>
      <c r="I145" s="53"/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8"/>
        <v>0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2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8"/>
        <v>0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/>
      <c r="C147" s="25"/>
      <c r="D147" s="25"/>
      <c r="E147" s="53"/>
      <c r="F147" s="50"/>
      <c r="G147" s="25"/>
      <c r="H147" s="25"/>
      <c r="I147" s="65"/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8"/>
        <v>0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/>
      <c r="D148" s="25"/>
      <c r="E148" s="53"/>
      <c r="F148" s="50"/>
      <c r="G148" s="3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>
        <f t="shared" si="8"/>
        <v>0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35"/>
      <c r="H149" s="35"/>
      <c r="I149" s="53"/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si="8"/>
        <v>0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68"/>
      <c r="G150" s="25"/>
      <c r="H150" s="25"/>
      <c r="I150" s="65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8"/>
        <v>0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50"/>
      <c r="G151" s="3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 t="shared" si="8"/>
        <v>0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8"/>
        <v>0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8"/>
        <v>0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8"/>
        <v>0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8"/>
        <v>0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7"/>
      <c r="K156" s="67"/>
      <c r="L156" s="67"/>
      <c r="M156" s="67"/>
      <c r="N156" s="67"/>
      <c r="O156" s="67"/>
      <c r="P156" s="67"/>
      <c r="Q156" s="67"/>
      <c r="R156" s="53"/>
      <c r="S156" s="36"/>
      <c r="T156" s="53">
        <f t="shared" si="8"/>
        <v>0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25"/>
      <c r="H157" s="26"/>
      <c r="I157" s="70"/>
      <c r="J157" s="71"/>
      <c r="K157" s="71"/>
      <c r="L157" s="71"/>
      <c r="M157" s="71"/>
      <c r="N157" s="71"/>
      <c r="O157" s="71"/>
      <c r="P157" s="71"/>
      <c r="Q157" s="71"/>
      <c r="R157" s="26"/>
      <c r="S157" s="37"/>
      <c r="T157" s="56">
        <f t="shared" si="8"/>
        <v>0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3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6">
        <f t="shared" si="8"/>
        <v>0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6">
        <f t="shared" si="8"/>
        <v>0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6">
        <f t="shared" si="8"/>
        <v>0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3"/>
      <c r="D161" s="25"/>
      <c r="E161" s="53"/>
      <c r="F161" s="50"/>
      <c r="G161" s="2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6">
        <f t="shared" si="8"/>
        <v>0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8"/>
        <v>0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3"/>
      <c r="E163" s="54"/>
      <c r="F163" s="50"/>
      <c r="G163" s="3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8"/>
        <v>0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8"/>
        <v>0</v>
      </c>
      <c r="U164" s="42"/>
      <c r="V164" s="42"/>
      <c r="W164" s="42"/>
      <c r="X164" s="42"/>
      <c r="Y164" s="42"/>
    </row>
    <row r="165" ht="15.75" customHeight="1" spans="1:25" x14ac:dyDescent="0.25">
      <c r="A165" s="40"/>
      <c r="B165" s="35"/>
      <c r="C165" s="72"/>
      <c r="D165" s="40"/>
      <c r="E165" s="53"/>
      <c r="F165" s="50"/>
      <c r="G165" s="25"/>
      <c r="H165" s="25"/>
      <c r="I165" s="53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8"/>
        <v>0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8"/>
        <v>0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3"/>
      <c r="D167" s="72"/>
      <c r="E167" s="54"/>
      <c r="F167" s="50"/>
      <c r="G167" s="35"/>
      <c r="H167" s="3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8"/>
        <v>0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2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8"/>
        <v>0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40"/>
      <c r="E169" s="53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8"/>
        <v>0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8"/>
        <v>0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40"/>
      <c r="D171" s="72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8"/>
        <v>0</v>
      </c>
      <c r="U171" s="42"/>
      <c r="V171" s="42"/>
      <c r="W171" s="42"/>
      <c r="X171" s="42"/>
      <c r="Y171" s="42"/>
    </row>
    <row r="172" ht="15.75" customHeight="1" spans="1:25" x14ac:dyDescent="0.25">
      <c r="A172" s="40"/>
      <c r="B172" s="35"/>
      <c r="C172" s="40"/>
      <c r="D172" s="40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8"/>
        <v>0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40"/>
      <c r="D173" s="72"/>
      <c r="E173" s="54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8"/>
        <v>0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3"/>
      <c r="D174" s="23"/>
      <c r="E174" s="54"/>
      <c r="F174" s="50"/>
      <c r="G174" s="26"/>
      <c r="H174" s="26"/>
      <c r="I174" s="70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8"/>
        <v>0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5"/>
      <c r="E175" s="53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8"/>
        <v>0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8"/>
        <v>0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68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>T176-E177+16000</f>
        <v>16000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7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 t="shared" ref="T178:T179" si="9">T177-E178</f>
        <v>16000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si="9"/>
        <v>16000</v>
      </c>
      <c r="U179" s="42"/>
      <c r="V179" s="42"/>
      <c r="W179" s="42"/>
      <c r="X179" s="42"/>
      <c r="Y179" s="42"/>
    </row>
    <row r="180" ht="15.75" customHeight="1" spans="1:25" x14ac:dyDescent="0.25">
      <c r="A180" s="40"/>
      <c r="B180" s="25"/>
      <c r="C180" s="40"/>
      <c r="D180" s="25"/>
      <c r="E180" s="53"/>
      <c r="F180" s="68"/>
      <c r="G180" s="35"/>
      <c r="H180" s="35"/>
      <c r="I180" s="53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>T179-E180+120000</f>
        <v>136000</v>
      </c>
      <c r="U180" s="42"/>
      <c r="V180" s="42"/>
      <c r="W180" s="42"/>
      <c r="X180" s="42"/>
      <c r="Y180" s="42"/>
    </row>
    <row r="181" ht="15.75" customHeight="1" spans="1:25" x14ac:dyDescent="0.25">
      <c r="A181" s="26"/>
      <c r="B181" s="29"/>
      <c r="C181" s="38"/>
      <c r="D181" s="38"/>
      <c r="E181" s="56"/>
      <c r="F181" s="57"/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 t="shared" ref="T181:T213" si="10">T180-E181</f>
        <v>136000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si="10"/>
        <v>136000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56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10"/>
        <v>136000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70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10"/>
        <v>136000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56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10"/>
        <v>136000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10"/>
        <v>136000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10"/>
        <v>136000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9"/>
      <c r="H188" s="29"/>
      <c r="I188" s="56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10"/>
        <v>136000</v>
      </c>
      <c r="U188" s="42"/>
      <c r="V188" s="42"/>
      <c r="W188" s="42"/>
      <c r="X188" s="42"/>
      <c r="Y188" s="42"/>
    </row>
    <row r="189" ht="15.75" customHeight="1" spans="1:25" x14ac:dyDescent="0.25">
      <c r="A189" s="40"/>
      <c r="B189" s="35"/>
      <c r="C189" s="40"/>
      <c r="D189" s="40"/>
      <c r="E189" s="53"/>
      <c r="F189" s="50"/>
      <c r="G189" s="25"/>
      <c r="H189" s="25"/>
      <c r="I189" s="65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10"/>
        <v>136000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53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10"/>
        <v>136000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10"/>
        <v>136000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10"/>
        <v>136000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10"/>
        <v>136000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10"/>
        <v>136000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10"/>
        <v>136000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10"/>
        <v>136000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10"/>
        <v>136000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10"/>
        <v>136000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10"/>
        <v>136000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10"/>
        <v>136000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10"/>
        <v>136000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10"/>
        <v>136000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10"/>
        <v>136000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10"/>
        <v>136000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10"/>
        <v>136000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10"/>
        <v>136000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10"/>
        <v>136000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10"/>
        <v>136000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10"/>
        <v>136000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10"/>
        <v>136000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10"/>
        <v>136000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10"/>
        <v>136000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10"/>
        <v>136000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>T213-E214+75000</f>
        <v>211000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ref="T215:T226" si="11">T214-E215</f>
        <v>211000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11"/>
        <v>211000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11"/>
        <v>211000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11"/>
        <v>211000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11"/>
        <v>211000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11"/>
        <v>211000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11"/>
        <v>211000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11"/>
        <v>211000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11"/>
        <v>211000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11"/>
        <v>211000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11"/>
        <v>211000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11"/>
        <v>211000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322000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12">T227-E228</f>
        <v>322000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12"/>
        <v>322000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12"/>
        <v>322000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12"/>
        <v>322000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12"/>
        <v>322000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12"/>
        <v>322000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12"/>
        <v>322000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12"/>
        <v>322000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12"/>
        <v>322000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12"/>
        <v>322000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12"/>
        <v>322000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12"/>
        <v>322000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12"/>
        <v>322000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12"/>
        <v>322000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12"/>
        <v>322000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12"/>
        <v>322000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12"/>
        <v>322000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12"/>
        <v>322000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12"/>
        <v>322000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12"/>
        <v>322000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12"/>
        <v>322000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12"/>
        <v>322000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12"/>
        <v>322000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12"/>
        <v>322000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12"/>
        <v>322000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12"/>
        <v>322000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12"/>
        <v>322000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12"/>
        <v>322000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12"/>
        <v>322000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12"/>
        <v>322000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367000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13">T258-E259</f>
        <v>367000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13"/>
        <v>367000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13"/>
        <v>367000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4.4414062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5" max="15" width="10.21875" customWidth="1"/>
    <col min="17" max="17" width="10.44140625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1008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-190.5</v>
      </c>
      <c r="U3" s="42"/>
      <c r="V3" s="42"/>
      <c r="W3" s="42"/>
      <c r="X3" s="42"/>
      <c r="Y3" s="42"/>
    </row>
    <row r="4" ht="15.75" customHeight="1" spans="1:25" x14ac:dyDescent="0.25">
      <c r="A4" s="25"/>
      <c r="B4" s="35">
        <v>950</v>
      </c>
      <c r="C4" s="25" t="s">
        <v>94</v>
      </c>
      <c r="D4" s="25" t="s">
        <v>420</v>
      </c>
      <c r="E4" s="53">
        <v>4650</v>
      </c>
      <c r="F4" s="50"/>
      <c r="G4" s="35">
        <v>31</v>
      </c>
      <c r="H4" s="35">
        <v>150</v>
      </c>
      <c r="I4" s="53">
        <v>4650</v>
      </c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 t="shared" ref="T4:T9" si="0">T3-E4</f>
        <v>-4840.5</v>
      </c>
      <c r="U4" s="42"/>
      <c r="V4" s="42"/>
      <c r="W4" s="42"/>
      <c r="X4" s="42"/>
      <c r="Y4" s="42"/>
    </row>
    <row r="5" ht="15.75" customHeight="1" spans="1:25" x14ac:dyDescent="0.25">
      <c r="A5" s="25" t="s">
        <v>1009</v>
      </c>
      <c r="B5" s="35">
        <v>951</v>
      </c>
      <c r="C5" s="25" t="s">
        <v>1010</v>
      </c>
      <c r="D5" s="25" t="s">
        <v>411</v>
      </c>
      <c r="E5" s="53">
        <v>600</v>
      </c>
      <c r="F5" s="50"/>
      <c r="G5" s="35"/>
      <c r="H5" s="35"/>
      <c r="I5" s="53"/>
      <c r="J5" s="66"/>
      <c r="K5" s="66"/>
      <c r="L5" s="66"/>
      <c r="M5" s="66"/>
      <c r="N5" s="66"/>
      <c r="O5" s="66"/>
      <c r="P5" s="66">
        <v>600</v>
      </c>
      <c r="Q5" s="66"/>
      <c r="R5" s="25"/>
      <c r="S5" s="36"/>
      <c r="T5" s="53">
        <f t="shared" si="0"/>
        <v>-5440.5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952</v>
      </c>
      <c r="C6" s="25" t="s">
        <v>1011</v>
      </c>
      <c r="D6" s="25" t="s">
        <v>411</v>
      </c>
      <c r="E6" s="53">
        <v>400</v>
      </c>
      <c r="F6" s="50"/>
      <c r="G6" s="35"/>
      <c r="H6" s="35"/>
      <c r="I6" s="53"/>
      <c r="J6" s="66"/>
      <c r="K6" s="66"/>
      <c r="L6" s="66"/>
      <c r="M6" s="66"/>
      <c r="N6" s="66"/>
      <c r="O6" s="66"/>
      <c r="P6" s="66">
        <v>400</v>
      </c>
      <c r="Q6" s="66"/>
      <c r="R6" s="25"/>
      <c r="S6" s="36"/>
      <c r="T6" s="53">
        <f t="shared" si="0"/>
        <v>-5840.5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953</v>
      </c>
      <c r="C7" s="25" t="s">
        <v>1012</v>
      </c>
      <c r="D7" s="25" t="s">
        <v>119</v>
      </c>
      <c r="E7" s="53">
        <v>300</v>
      </c>
      <c r="F7" s="50"/>
      <c r="G7" s="25"/>
      <c r="H7" s="25"/>
      <c r="I7" s="53"/>
      <c r="J7" s="66"/>
      <c r="K7" s="66"/>
      <c r="L7" s="66"/>
      <c r="M7" s="67">
        <v>300</v>
      </c>
      <c r="N7" s="66"/>
      <c r="O7" s="66"/>
      <c r="P7" s="66"/>
      <c r="Q7" s="66"/>
      <c r="R7" s="25"/>
      <c r="S7" s="36"/>
      <c r="T7" s="53">
        <f t="shared" si="0"/>
        <v>-6140.5</v>
      </c>
      <c r="U7" s="42"/>
      <c r="V7" s="42"/>
      <c r="W7" s="42"/>
      <c r="X7" s="42"/>
      <c r="Y7" s="42"/>
    </row>
    <row r="8" ht="15.75" customHeight="1" spans="1:25" x14ac:dyDescent="0.25">
      <c r="A8" s="25" t="s">
        <v>1013</v>
      </c>
      <c r="B8" s="35">
        <v>954</v>
      </c>
      <c r="C8" s="25" t="s">
        <v>1014</v>
      </c>
      <c r="D8" s="25" t="s">
        <v>963</v>
      </c>
      <c r="E8" s="53">
        <v>15800</v>
      </c>
      <c r="F8" s="50"/>
      <c r="G8" s="25"/>
      <c r="H8" s="25"/>
      <c r="I8" s="53">
        <v>15800</v>
      </c>
      <c r="J8" s="66"/>
      <c r="K8" s="66"/>
      <c r="L8" s="66"/>
      <c r="M8" s="66"/>
      <c r="N8" s="66"/>
      <c r="O8" s="66"/>
      <c r="P8" s="67"/>
      <c r="Q8" s="66"/>
      <c r="R8" s="25"/>
      <c r="S8" s="36"/>
      <c r="T8" s="53">
        <f t="shared" si="0"/>
        <v>-21940.5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955</v>
      </c>
      <c r="C9" s="25" t="s">
        <v>1015</v>
      </c>
      <c r="D9" s="25" t="s">
        <v>119</v>
      </c>
      <c r="E9" s="53">
        <v>500</v>
      </c>
      <c r="F9" s="50"/>
      <c r="G9" s="35"/>
      <c r="H9" s="35"/>
      <c r="I9" s="53"/>
      <c r="J9" s="66"/>
      <c r="K9" s="66"/>
      <c r="L9" s="66"/>
      <c r="M9" s="66">
        <v>500</v>
      </c>
      <c r="N9" s="66"/>
      <c r="O9" s="66"/>
      <c r="P9" s="66"/>
      <c r="Q9" s="66"/>
      <c r="R9" s="25"/>
      <c r="S9" s="36"/>
      <c r="T9" s="53">
        <f t="shared" si="0"/>
        <v>-22440.5</v>
      </c>
      <c r="U9" s="42"/>
      <c r="V9" s="42"/>
      <c r="W9" s="42"/>
      <c r="X9" s="42"/>
      <c r="Y9" s="42"/>
    </row>
    <row r="10" ht="15.75" customHeight="1" spans="1:25" x14ac:dyDescent="0.25">
      <c r="A10" s="25" t="s">
        <v>1016</v>
      </c>
      <c r="B10" s="35"/>
      <c r="C10" s="25" t="s">
        <v>1017</v>
      </c>
      <c r="D10" s="25"/>
      <c r="E10" s="53"/>
      <c r="F10" s="50"/>
      <c r="G10" s="35"/>
      <c r="H10" s="35"/>
      <c r="I10" s="53"/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>T9-E10+150000</f>
        <v>127559.5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956</v>
      </c>
      <c r="C11" s="25" t="s">
        <v>170</v>
      </c>
      <c r="D11" s="25" t="s">
        <v>54</v>
      </c>
      <c r="E11" s="53">
        <v>11200</v>
      </c>
      <c r="F11" s="50"/>
      <c r="G11" s="35">
        <v>112</v>
      </c>
      <c r="H11" s="35">
        <v>100</v>
      </c>
      <c r="I11" s="53">
        <v>11200</v>
      </c>
      <c r="J11" s="66"/>
      <c r="K11" s="66"/>
      <c r="L11" s="67"/>
      <c r="M11" s="66"/>
      <c r="N11" s="66"/>
      <c r="O11" s="66"/>
      <c r="P11" s="66"/>
      <c r="Q11" s="66"/>
      <c r="R11" s="25"/>
      <c r="S11" s="36"/>
      <c r="T11" s="53">
        <f t="shared" ref="T11:T35" si="1">T10-E11</f>
        <v>116359.5</v>
      </c>
      <c r="U11" s="42"/>
      <c r="V11" s="42"/>
      <c r="W11" s="42"/>
      <c r="X11" s="42"/>
      <c r="Y11" s="42"/>
    </row>
    <row r="12" ht="15.75" customHeight="1" spans="1:25" x14ac:dyDescent="0.25">
      <c r="A12" s="25" t="s">
        <v>1018</v>
      </c>
      <c r="B12" s="35">
        <v>957</v>
      </c>
      <c r="C12" s="25" t="s">
        <v>1019</v>
      </c>
      <c r="D12" s="25" t="s">
        <v>1020</v>
      </c>
      <c r="E12" s="53">
        <v>52000</v>
      </c>
      <c r="F12" s="50"/>
      <c r="G12" s="25"/>
      <c r="H12" s="25"/>
      <c r="I12" s="53"/>
      <c r="J12" s="66"/>
      <c r="K12" s="66">
        <v>52000</v>
      </c>
      <c r="L12" s="66"/>
      <c r="M12" s="66"/>
      <c r="N12" s="66"/>
      <c r="O12" s="66"/>
      <c r="P12" s="66"/>
      <c r="Q12" s="66"/>
      <c r="R12" s="25"/>
      <c r="S12" s="36"/>
      <c r="T12" s="53">
        <f t="shared" si="1"/>
        <v>64359.5</v>
      </c>
      <c r="U12" s="42"/>
      <c r="V12" s="42"/>
      <c r="W12" s="42"/>
      <c r="X12" s="42"/>
      <c r="Y12" s="42"/>
    </row>
    <row r="13" ht="15.75" customHeight="1" spans="1:25" x14ac:dyDescent="0.25">
      <c r="A13" s="25"/>
      <c r="B13" s="35">
        <v>958</v>
      </c>
      <c r="C13" s="25" t="s">
        <v>1021</v>
      </c>
      <c r="D13" s="25" t="s">
        <v>295</v>
      </c>
      <c r="E13" s="53">
        <v>3200</v>
      </c>
      <c r="F13" s="50"/>
      <c r="G13" s="35"/>
      <c r="H13" s="35"/>
      <c r="I13" s="53"/>
      <c r="J13" s="66"/>
      <c r="K13" s="66"/>
      <c r="L13" s="66"/>
      <c r="M13" s="66"/>
      <c r="N13" s="66"/>
      <c r="O13" s="66"/>
      <c r="P13" s="66"/>
      <c r="Q13" s="66"/>
      <c r="R13" s="25">
        <v>3200</v>
      </c>
      <c r="S13" s="36"/>
      <c r="T13" s="53">
        <f t="shared" si="1"/>
        <v>61159.5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0">
        <v>959</v>
      </c>
      <c r="C14" s="25" t="s">
        <v>170</v>
      </c>
      <c r="D14" s="25" t="s">
        <v>618</v>
      </c>
      <c r="E14" s="53">
        <v>26100</v>
      </c>
      <c r="F14" s="50"/>
      <c r="G14" s="35">
        <v>261</v>
      </c>
      <c r="H14" s="35">
        <v>100</v>
      </c>
      <c r="I14" s="53">
        <v>26100</v>
      </c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1"/>
        <v>35059.5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0">
        <v>960</v>
      </c>
      <c r="C15" s="25" t="s">
        <v>1022</v>
      </c>
      <c r="D15" s="25" t="s">
        <v>1023</v>
      </c>
      <c r="E15" s="53">
        <v>800</v>
      </c>
      <c r="F15" s="68"/>
      <c r="G15" s="25"/>
      <c r="H15" s="25"/>
      <c r="I15" s="53"/>
      <c r="J15" s="66"/>
      <c r="K15" s="66"/>
      <c r="L15" s="66"/>
      <c r="M15" s="66"/>
      <c r="N15" s="66"/>
      <c r="O15" s="66"/>
      <c r="P15" s="66">
        <v>800</v>
      </c>
      <c r="Q15" s="67"/>
      <c r="R15" s="25"/>
      <c r="S15" s="36"/>
      <c r="T15" s="53">
        <f t="shared" si="1"/>
        <v>34259.5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0">
        <v>961</v>
      </c>
      <c r="C16" s="25" t="s">
        <v>400</v>
      </c>
      <c r="D16" s="25" t="s">
        <v>1024</v>
      </c>
      <c r="E16" s="53">
        <v>300</v>
      </c>
      <c r="F16" s="50"/>
      <c r="G16" s="35"/>
      <c r="H16" s="35"/>
      <c r="I16" s="53"/>
      <c r="J16" s="66"/>
      <c r="K16" s="66"/>
      <c r="L16" s="66"/>
      <c r="M16" s="66"/>
      <c r="N16" s="66"/>
      <c r="O16" s="66"/>
      <c r="P16" s="67">
        <v>300</v>
      </c>
      <c r="Q16" s="66"/>
      <c r="R16" s="25"/>
      <c r="S16" s="36"/>
      <c r="T16" s="53">
        <f t="shared" si="1"/>
        <v>33959.5</v>
      </c>
      <c r="U16" s="42"/>
      <c r="V16" s="42"/>
      <c r="W16" s="42"/>
      <c r="X16" s="42"/>
      <c r="Y16" s="42"/>
    </row>
    <row r="17" ht="15.75" customHeight="1" spans="1:25" x14ac:dyDescent="0.25">
      <c r="A17" s="25" t="s">
        <v>1025</v>
      </c>
      <c r="B17" s="35">
        <v>962</v>
      </c>
      <c r="C17" s="25" t="s">
        <v>1026</v>
      </c>
      <c r="D17" s="25" t="s">
        <v>1027</v>
      </c>
      <c r="E17" s="53">
        <v>1000</v>
      </c>
      <c r="F17" s="50"/>
      <c r="G17" s="35"/>
      <c r="H17" s="35"/>
      <c r="I17" s="53"/>
      <c r="J17" s="66"/>
      <c r="K17" s="66">
        <v>1000</v>
      </c>
      <c r="L17" s="66"/>
      <c r="M17" s="66"/>
      <c r="N17" s="66"/>
      <c r="O17" s="66"/>
      <c r="P17" s="67"/>
      <c r="Q17" s="66"/>
      <c r="R17" s="25"/>
      <c r="S17" s="36"/>
      <c r="T17" s="53">
        <f t="shared" si="1"/>
        <v>32959.5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963</v>
      </c>
      <c r="C18" s="25" t="s">
        <v>1028</v>
      </c>
      <c r="D18" s="25" t="s">
        <v>1029</v>
      </c>
      <c r="E18" s="53">
        <v>1000</v>
      </c>
      <c r="F18" s="50"/>
      <c r="G18" s="35"/>
      <c r="H18" s="35"/>
      <c r="I18" s="53"/>
      <c r="J18" s="66"/>
      <c r="K18" s="66">
        <v>1000</v>
      </c>
      <c r="L18" s="66"/>
      <c r="M18" s="66"/>
      <c r="N18" s="66"/>
      <c r="O18" s="66"/>
      <c r="P18" s="66"/>
      <c r="Q18" s="66"/>
      <c r="R18" s="25"/>
      <c r="S18" s="36"/>
      <c r="T18" s="53">
        <f t="shared" si="1"/>
        <v>31959.5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964</v>
      </c>
      <c r="C19" s="25" t="s">
        <v>170</v>
      </c>
      <c r="D19" s="25" t="s">
        <v>54</v>
      </c>
      <c r="E19" s="53">
        <v>7100</v>
      </c>
      <c r="F19" s="50"/>
      <c r="G19" s="35">
        <v>71</v>
      </c>
      <c r="H19" s="25">
        <v>100</v>
      </c>
      <c r="I19" s="53">
        <v>7100</v>
      </c>
      <c r="J19" s="66"/>
      <c r="K19" s="66"/>
      <c r="L19" s="66"/>
      <c r="M19" s="66"/>
      <c r="N19" s="66"/>
      <c r="O19" s="66"/>
      <c r="P19" s="66"/>
      <c r="Q19" s="66"/>
      <c r="R19" s="25"/>
      <c r="S19" s="36"/>
      <c r="T19" s="53">
        <f t="shared" si="1"/>
        <v>24859.5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965</v>
      </c>
      <c r="C20" s="25" t="s">
        <v>170</v>
      </c>
      <c r="D20" s="25" t="s">
        <v>420</v>
      </c>
      <c r="E20" s="53">
        <v>3900</v>
      </c>
      <c r="F20" s="50"/>
      <c r="G20" s="35">
        <v>39</v>
      </c>
      <c r="H20" s="35">
        <v>100</v>
      </c>
      <c r="I20" s="53">
        <v>3900</v>
      </c>
      <c r="J20" s="66"/>
      <c r="K20" s="67"/>
      <c r="L20" s="66"/>
      <c r="M20" s="66"/>
      <c r="N20" s="66"/>
      <c r="O20" s="66"/>
      <c r="P20" s="66"/>
      <c r="Q20" s="66"/>
      <c r="R20" s="25"/>
      <c r="S20" s="36"/>
      <c r="T20" s="53">
        <f t="shared" si="1"/>
        <v>20959.5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966</v>
      </c>
      <c r="C21" s="25" t="s">
        <v>13</v>
      </c>
      <c r="D21" s="25" t="s">
        <v>104</v>
      </c>
      <c r="E21" s="53">
        <v>10000</v>
      </c>
      <c r="F21" s="50"/>
      <c r="G21" s="35"/>
      <c r="H21" s="35"/>
      <c r="I21" s="53"/>
      <c r="J21" s="66"/>
      <c r="K21" s="66"/>
      <c r="L21" s="66"/>
      <c r="M21" s="66"/>
      <c r="N21" s="66"/>
      <c r="O21" s="66"/>
      <c r="P21" s="66"/>
      <c r="Q21" s="66">
        <v>10000</v>
      </c>
      <c r="R21" s="25"/>
      <c r="S21" s="36"/>
      <c r="T21" s="53">
        <f t="shared" si="1"/>
        <v>10959.5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967</v>
      </c>
      <c r="C22" s="25" t="s">
        <v>384</v>
      </c>
      <c r="D22" s="25" t="s">
        <v>1030</v>
      </c>
      <c r="E22" s="53">
        <v>400</v>
      </c>
      <c r="F22" s="50"/>
      <c r="G22" s="25"/>
      <c r="H22" s="25"/>
      <c r="I22" s="53"/>
      <c r="J22" s="66"/>
      <c r="K22" s="66"/>
      <c r="L22" s="66"/>
      <c r="M22" s="66"/>
      <c r="N22" s="66"/>
      <c r="O22" s="66"/>
      <c r="P22" s="66">
        <v>400</v>
      </c>
      <c r="Q22" s="66"/>
      <c r="R22" s="25"/>
      <c r="S22" s="36"/>
      <c r="T22" s="53">
        <f t="shared" si="1"/>
        <v>10559.5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968</v>
      </c>
      <c r="C23" s="25" t="s">
        <v>1031</v>
      </c>
      <c r="D23" s="25" t="s">
        <v>1020</v>
      </c>
      <c r="E23" s="53">
        <v>3500</v>
      </c>
      <c r="F23" s="50"/>
      <c r="G23" s="25"/>
      <c r="H23" s="25"/>
      <c r="I23" s="53"/>
      <c r="J23" s="66"/>
      <c r="K23" s="67">
        <v>3500</v>
      </c>
      <c r="L23" s="66"/>
      <c r="M23" s="66"/>
      <c r="N23" s="66"/>
      <c r="O23" s="66"/>
      <c r="P23" s="66"/>
      <c r="Q23" s="66"/>
      <c r="R23" s="25"/>
      <c r="S23" s="36"/>
      <c r="T23" s="53">
        <f t="shared" si="1"/>
        <v>7059.5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5">
        <v>969</v>
      </c>
      <c r="C24" s="25" t="s">
        <v>1032</v>
      </c>
      <c r="D24" s="25" t="s">
        <v>572</v>
      </c>
      <c r="E24" s="53">
        <v>2000</v>
      </c>
      <c r="F24" s="50"/>
      <c r="G24" s="25"/>
      <c r="H24" s="25"/>
      <c r="I24" s="53"/>
      <c r="J24" s="66"/>
      <c r="K24" s="67"/>
      <c r="L24" s="66"/>
      <c r="M24" s="66"/>
      <c r="N24" s="66">
        <v>2000</v>
      </c>
      <c r="O24" s="66"/>
      <c r="P24" s="66"/>
      <c r="Q24" s="66"/>
      <c r="R24" s="25"/>
      <c r="S24" s="36"/>
      <c r="T24" s="53">
        <f t="shared" si="1"/>
        <v>5059.5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970</v>
      </c>
      <c r="C25" s="25" t="s">
        <v>1033</v>
      </c>
      <c r="D25" s="23" t="s">
        <v>119</v>
      </c>
      <c r="E25" s="54">
        <v>1000</v>
      </c>
      <c r="F25" s="50"/>
      <c r="G25" s="25"/>
      <c r="H25" s="25"/>
      <c r="I25" s="53"/>
      <c r="J25" s="66"/>
      <c r="K25" s="67"/>
      <c r="L25" s="66"/>
      <c r="M25" s="66">
        <v>1000</v>
      </c>
      <c r="N25" s="66"/>
      <c r="O25" s="66"/>
      <c r="P25" s="66"/>
      <c r="Q25" s="66"/>
      <c r="R25" s="25"/>
      <c r="S25" s="36"/>
      <c r="T25" s="53">
        <f t="shared" si="1"/>
        <v>4059.5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971</v>
      </c>
      <c r="C26" s="25" t="s">
        <v>170</v>
      </c>
      <c r="D26" s="25" t="s">
        <v>618</v>
      </c>
      <c r="E26" s="54">
        <v>18600</v>
      </c>
      <c r="F26" s="50"/>
      <c r="G26" s="35">
        <v>186</v>
      </c>
      <c r="H26" s="35">
        <v>100</v>
      </c>
      <c r="I26" s="53">
        <v>18600</v>
      </c>
      <c r="J26" s="66"/>
      <c r="K26" s="67"/>
      <c r="L26" s="66"/>
      <c r="M26" s="66"/>
      <c r="N26" s="66"/>
      <c r="O26" s="66"/>
      <c r="P26" s="66"/>
      <c r="Q26" s="66"/>
      <c r="R26" s="25"/>
      <c r="S26" s="36"/>
      <c r="T26" s="53">
        <f t="shared" si="1"/>
        <v>-14540.5</v>
      </c>
      <c r="U26" s="42"/>
      <c r="V26" s="42"/>
      <c r="W26" s="42"/>
      <c r="X26" s="42"/>
      <c r="Y26" s="42"/>
    </row>
    <row r="27" ht="15.75" customHeight="1" spans="1:25" x14ac:dyDescent="0.25">
      <c r="A27" s="25" t="s">
        <v>1034</v>
      </c>
      <c r="B27" s="35">
        <v>972</v>
      </c>
      <c r="C27" s="25" t="s">
        <v>170</v>
      </c>
      <c r="D27" s="25" t="s">
        <v>54</v>
      </c>
      <c r="E27" s="53">
        <v>8400</v>
      </c>
      <c r="F27" s="50"/>
      <c r="G27" s="35">
        <v>84</v>
      </c>
      <c r="H27" s="35">
        <v>100</v>
      </c>
      <c r="I27" s="53">
        <v>8400</v>
      </c>
      <c r="J27" s="66"/>
      <c r="K27" s="67"/>
      <c r="L27" s="66"/>
      <c r="M27" s="66"/>
      <c r="N27" s="66"/>
      <c r="O27" s="66"/>
      <c r="P27" s="66"/>
      <c r="Q27" s="66"/>
      <c r="R27" s="25"/>
      <c r="S27" s="36"/>
      <c r="T27" s="53">
        <f t="shared" si="1"/>
        <v>-22940.5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973</v>
      </c>
      <c r="C28" s="25" t="s">
        <v>170</v>
      </c>
      <c r="D28" s="25" t="s">
        <v>618</v>
      </c>
      <c r="E28" s="53">
        <v>21600</v>
      </c>
      <c r="F28" s="50"/>
      <c r="G28" s="35">
        <v>216</v>
      </c>
      <c r="H28" s="35">
        <v>100</v>
      </c>
      <c r="I28" s="53">
        <v>21600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1"/>
        <v>-44540.5</v>
      </c>
      <c r="U28" s="42"/>
      <c r="V28" s="42"/>
      <c r="W28" s="42"/>
      <c r="X28" s="42"/>
      <c r="Y28" s="42"/>
    </row>
    <row r="29" ht="15.75" customHeight="1" spans="1:25" x14ac:dyDescent="0.25">
      <c r="A29" s="25" t="s">
        <v>1035</v>
      </c>
      <c r="B29" s="35">
        <v>974</v>
      </c>
      <c r="C29" s="25" t="s">
        <v>170</v>
      </c>
      <c r="D29" s="21" t="s">
        <v>730</v>
      </c>
      <c r="E29" s="22">
        <v>3000</v>
      </c>
      <c r="F29" s="50"/>
      <c r="G29" s="35">
        <v>30</v>
      </c>
      <c r="H29" s="35">
        <v>100</v>
      </c>
      <c r="I29" s="53">
        <f t="shared" ref="I29:I35" si="2">H29*G29</f>
        <v>3000</v>
      </c>
      <c r="J29" s="66"/>
      <c r="K29" s="67"/>
      <c r="L29" s="66"/>
      <c r="M29" s="66"/>
      <c r="N29" s="66"/>
      <c r="O29" s="66"/>
      <c r="P29" s="66"/>
      <c r="Q29" s="66"/>
      <c r="R29" s="25"/>
      <c r="S29" s="36"/>
      <c r="T29" s="53">
        <f t="shared" si="1"/>
        <v>-47540.5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975</v>
      </c>
      <c r="C30" s="25" t="s">
        <v>170</v>
      </c>
      <c r="D30" s="23" t="s">
        <v>311</v>
      </c>
      <c r="E30" s="54">
        <v>5500</v>
      </c>
      <c r="F30" s="50"/>
      <c r="G30" s="35">
        <v>55</v>
      </c>
      <c r="H30" s="35">
        <v>100</v>
      </c>
      <c r="I30" s="53">
        <f t="shared" si="2"/>
        <v>5500</v>
      </c>
      <c r="J30" s="66"/>
      <c r="K30" s="66"/>
      <c r="L30" s="66"/>
      <c r="M30" s="66"/>
      <c r="N30" s="66"/>
      <c r="O30" s="66"/>
      <c r="P30" s="66"/>
      <c r="Q30" s="66"/>
      <c r="R30" s="25"/>
      <c r="S30" s="36"/>
      <c r="T30" s="53">
        <f t="shared" si="1"/>
        <v>-53040.5</v>
      </c>
      <c r="U30" s="42"/>
      <c r="V30" s="42"/>
      <c r="W30" s="42"/>
      <c r="X30" s="42"/>
      <c r="Y30" s="42"/>
    </row>
    <row r="31" ht="15.75" customHeight="1" spans="1:25" x14ac:dyDescent="0.25">
      <c r="A31" s="25"/>
      <c r="B31" s="35">
        <v>976</v>
      </c>
      <c r="C31" s="25" t="s">
        <v>170</v>
      </c>
      <c r="D31" s="25" t="s">
        <v>220</v>
      </c>
      <c r="E31" s="53">
        <v>3200</v>
      </c>
      <c r="F31" s="50"/>
      <c r="G31" s="35">
        <v>32</v>
      </c>
      <c r="H31" s="35">
        <v>100</v>
      </c>
      <c r="I31" s="53">
        <f t="shared" si="2"/>
        <v>3200</v>
      </c>
      <c r="J31" s="66"/>
      <c r="K31" s="66"/>
      <c r="L31" s="66"/>
      <c r="M31" s="66"/>
      <c r="N31" s="66"/>
      <c r="O31" s="66"/>
      <c r="P31" s="66"/>
      <c r="Q31" s="66"/>
      <c r="R31" s="25"/>
      <c r="S31" s="36"/>
      <c r="T31" s="53">
        <f t="shared" si="1"/>
        <v>-56240.5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977</v>
      </c>
      <c r="C32" s="25" t="s">
        <v>170</v>
      </c>
      <c r="D32" s="25" t="s">
        <v>54</v>
      </c>
      <c r="E32" s="53">
        <v>34300</v>
      </c>
      <c r="F32" s="50"/>
      <c r="G32" s="35">
        <v>343</v>
      </c>
      <c r="H32" s="35">
        <v>100</v>
      </c>
      <c r="I32" s="53">
        <f t="shared" si="2"/>
        <v>34300</v>
      </c>
      <c r="J32" s="66"/>
      <c r="K32" s="66"/>
      <c r="L32" s="66"/>
      <c r="M32" s="66"/>
      <c r="N32" s="66"/>
      <c r="O32" s="66"/>
      <c r="P32" s="66"/>
      <c r="Q32" s="66"/>
      <c r="R32" s="25"/>
      <c r="S32" s="36"/>
      <c r="T32" s="53">
        <f t="shared" si="1"/>
        <v>-90540.5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978</v>
      </c>
      <c r="C33" s="25" t="s">
        <v>170</v>
      </c>
      <c r="D33" s="23" t="s">
        <v>618</v>
      </c>
      <c r="E33" s="53">
        <v>20900</v>
      </c>
      <c r="F33" s="50"/>
      <c r="G33" s="35">
        <v>209</v>
      </c>
      <c r="H33" s="35">
        <v>100</v>
      </c>
      <c r="I33" s="53">
        <f t="shared" si="2"/>
        <v>20900</v>
      </c>
      <c r="J33" s="66"/>
      <c r="K33" s="66"/>
      <c r="L33" s="66"/>
      <c r="M33" s="66"/>
      <c r="N33" s="66"/>
      <c r="O33" s="66"/>
      <c r="P33" s="66"/>
      <c r="Q33" s="67"/>
      <c r="R33" s="25"/>
      <c r="S33" s="36"/>
      <c r="T33" s="53">
        <f t="shared" si="1"/>
        <v>-111440.5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1036</v>
      </c>
      <c r="B34" s="35">
        <v>979</v>
      </c>
      <c r="C34" s="25" t="s">
        <v>170</v>
      </c>
      <c r="D34" s="25" t="s">
        <v>311</v>
      </c>
      <c r="E34" s="53">
        <v>1200</v>
      </c>
      <c r="F34" s="50"/>
      <c r="G34" s="35">
        <v>12</v>
      </c>
      <c r="H34" s="25">
        <v>100</v>
      </c>
      <c r="I34" s="53">
        <f t="shared" si="2"/>
        <v>1200</v>
      </c>
      <c r="J34" s="66"/>
      <c r="K34" s="66"/>
      <c r="L34" s="66"/>
      <c r="M34" s="66"/>
      <c r="N34" s="66"/>
      <c r="O34" s="66"/>
      <c r="P34" s="67"/>
      <c r="Q34" s="66"/>
      <c r="R34" s="25"/>
      <c r="S34" s="36"/>
      <c r="T34" s="53">
        <f t="shared" si="1"/>
        <v>-112640.5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980</v>
      </c>
      <c r="C35" s="25" t="s">
        <v>170</v>
      </c>
      <c r="D35" s="25" t="s">
        <v>448</v>
      </c>
      <c r="E35" s="53">
        <v>600</v>
      </c>
      <c r="F35" s="50"/>
      <c r="G35" s="35">
        <v>6</v>
      </c>
      <c r="H35" s="25">
        <v>100</v>
      </c>
      <c r="I35" s="53">
        <f t="shared" si="2"/>
        <v>600</v>
      </c>
      <c r="J35" s="66"/>
      <c r="K35" s="66"/>
      <c r="L35" s="66"/>
      <c r="M35" s="66"/>
      <c r="N35" s="66"/>
      <c r="O35" s="66"/>
      <c r="P35" s="66"/>
      <c r="Q35" s="66"/>
      <c r="R35" s="25"/>
      <c r="S35" s="36"/>
      <c r="T35" s="53">
        <f t="shared" si="1"/>
        <v>-113240.5</v>
      </c>
      <c r="U35" s="42"/>
      <c r="V35" s="42"/>
      <c r="W35" s="42"/>
      <c r="X35" s="42"/>
      <c r="Y35" s="42"/>
    </row>
    <row r="36" ht="15.75" customHeight="1" spans="1:25" x14ac:dyDescent="0.25">
      <c r="A36" s="25" t="s">
        <v>1037</v>
      </c>
      <c r="B36" s="35"/>
      <c r="C36" s="25" t="s">
        <v>1038</v>
      </c>
      <c r="D36" s="23"/>
      <c r="E36" s="54"/>
      <c r="F36" s="68">
        <v>50000</v>
      </c>
      <c r="G36" s="25"/>
      <c r="H36" s="35"/>
      <c r="I36" s="53"/>
      <c r="J36" s="66"/>
      <c r="K36" s="66"/>
      <c r="L36" s="66"/>
      <c r="M36" s="66"/>
      <c r="N36" s="66"/>
      <c r="O36" s="66"/>
      <c r="P36" s="66"/>
      <c r="Q36" s="66"/>
      <c r="R36" s="25"/>
      <c r="S36" s="36"/>
      <c r="T36" s="53">
        <f>T35-E36+50000</f>
        <v>-63240.5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981</v>
      </c>
      <c r="C37" s="25" t="s">
        <v>1039</v>
      </c>
      <c r="D37" s="23" t="s">
        <v>295</v>
      </c>
      <c r="E37" s="54">
        <v>4770</v>
      </c>
      <c r="F37" s="50"/>
      <c r="G37" s="25"/>
      <c r="H37" s="35"/>
      <c r="I37" s="53"/>
      <c r="J37" s="66"/>
      <c r="K37" s="66"/>
      <c r="L37" s="66"/>
      <c r="M37" s="66"/>
      <c r="N37" s="66"/>
      <c r="O37" s="66"/>
      <c r="P37" s="66"/>
      <c r="Q37" s="66"/>
      <c r="R37" s="25">
        <v>4770</v>
      </c>
      <c r="S37" s="36"/>
      <c r="T37" s="53">
        <f t="shared" ref="T37:T40" si="3">T36-E37</f>
        <v>-68010.5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982</v>
      </c>
      <c r="C38" s="25" t="s">
        <v>170</v>
      </c>
      <c r="D38" s="23" t="s">
        <v>618</v>
      </c>
      <c r="E38" s="17">
        <v>28500</v>
      </c>
      <c r="F38" s="50"/>
      <c r="G38" s="35">
        <v>285</v>
      </c>
      <c r="H38" s="35">
        <v>100</v>
      </c>
      <c r="I38" s="53">
        <f t="shared" ref="I38:I40" si="4">H38*G38</f>
        <v>28500</v>
      </c>
      <c r="J38" s="66"/>
      <c r="K38" s="66"/>
      <c r="L38" s="66"/>
      <c r="M38" s="66"/>
      <c r="N38" s="66"/>
      <c r="O38" s="66"/>
      <c r="P38" s="66"/>
      <c r="Q38" s="66"/>
      <c r="R38" s="25"/>
      <c r="S38" s="36"/>
      <c r="T38" s="53">
        <f t="shared" si="3"/>
        <v>-96510.5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983</v>
      </c>
      <c r="C39" s="25" t="s">
        <v>170</v>
      </c>
      <c r="D39" s="25" t="s">
        <v>54</v>
      </c>
      <c r="E39" s="53">
        <v>23800</v>
      </c>
      <c r="F39" s="50"/>
      <c r="G39" s="35">
        <v>238</v>
      </c>
      <c r="H39" s="35">
        <v>100</v>
      </c>
      <c r="I39" s="53">
        <f t="shared" si="4"/>
        <v>23800</v>
      </c>
      <c r="J39" s="66"/>
      <c r="K39" s="66"/>
      <c r="L39" s="66"/>
      <c r="M39" s="66"/>
      <c r="N39" s="66"/>
      <c r="O39" s="66"/>
      <c r="P39" s="66"/>
      <c r="Q39" s="66"/>
      <c r="R39" s="25"/>
      <c r="S39" s="36"/>
      <c r="T39" s="53">
        <f t="shared" si="3"/>
        <v>-120310.5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984</v>
      </c>
      <c r="C40" s="25" t="s">
        <v>170</v>
      </c>
      <c r="D40" s="25" t="s">
        <v>200</v>
      </c>
      <c r="E40" s="53">
        <v>93300</v>
      </c>
      <c r="F40" s="50"/>
      <c r="G40" s="35">
        <v>933</v>
      </c>
      <c r="H40" s="35">
        <v>100</v>
      </c>
      <c r="I40" s="53">
        <f t="shared" si="4"/>
        <v>93300</v>
      </c>
      <c r="J40" s="66"/>
      <c r="K40" s="66"/>
      <c r="L40" s="66"/>
      <c r="M40" s="66"/>
      <c r="N40" s="66"/>
      <c r="O40" s="66"/>
      <c r="P40" s="67"/>
      <c r="Q40" s="66"/>
      <c r="R40" s="25"/>
      <c r="S40" s="36"/>
      <c r="T40" s="53">
        <f t="shared" si="3"/>
        <v>-213610.5</v>
      </c>
      <c r="U40" s="42"/>
      <c r="V40" s="42"/>
      <c r="W40" s="42"/>
      <c r="X40" s="42"/>
      <c r="Y40" s="42"/>
    </row>
    <row r="41" ht="15.75" customHeight="1" spans="1:25" x14ac:dyDescent="0.25">
      <c r="A41" s="25" t="s">
        <v>1040</v>
      </c>
      <c r="B41" s="35"/>
      <c r="C41" s="25" t="s">
        <v>1017</v>
      </c>
      <c r="D41" s="25"/>
      <c r="E41" s="53"/>
      <c r="F41" s="50"/>
      <c r="G41" s="35"/>
      <c r="H41" s="35"/>
      <c r="I41" s="53"/>
      <c r="J41" s="66"/>
      <c r="K41" s="66"/>
      <c r="L41" s="66"/>
      <c r="M41" s="67"/>
      <c r="N41" s="66"/>
      <c r="O41" s="66"/>
      <c r="P41" s="66"/>
      <c r="Q41" s="66"/>
      <c r="R41" s="25"/>
      <c r="S41" s="36"/>
      <c r="T41" s="53">
        <f>T40-E41+150000</f>
        <v>-63610.5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985</v>
      </c>
      <c r="C42" s="25" t="s">
        <v>1041</v>
      </c>
      <c r="D42" s="25" t="s">
        <v>1042</v>
      </c>
      <c r="E42" s="53">
        <v>1500</v>
      </c>
      <c r="F42" s="50"/>
      <c r="G42" s="35"/>
      <c r="H42" s="35"/>
      <c r="I42" s="53">
        <v>1500</v>
      </c>
      <c r="J42" s="66"/>
      <c r="K42" s="66"/>
      <c r="L42" s="66"/>
      <c r="M42" s="66"/>
      <c r="N42" s="66"/>
      <c r="O42" s="66"/>
      <c r="P42" s="66"/>
      <c r="Q42" s="66"/>
      <c r="R42" s="25"/>
      <c r="S42" s="36"/>
      <c r="T42" s="53">
        <f t="shared" ref="T42:T50" si="5">T41-E42</f>
        <v>-65110.5</v>
      </c>
      <c r="U42" s="42"/>
      <c r="V42" s="42"/>
      <c r="W42" s="42"/>
      <c r="X42" s="42"/>
      <c r="Y42" s="42"/>
    </row>
    <row r="43" ht="15.75" customHeight="1" spans="1:25" x14ac:dyDescent="0.25">
      <c r="A43" s="25"/>
      <c r="B43" s="35">
        <v>986</v>
      </c>
      <c r="C43" s="25" t="s">
        <v>48</v>
      </c>
      <c r="D43" s="25" t="s">
        <v>279</v>
      </c>
      <c r="E43" s="53">
        <v>70</v>
      </c>
      <c r="F43" s="50"/>
      <c r="G43" s="25"/>
      <c r="H43" s="25"/>
      <c r="I43" s="65"/>
      <c r="J43" s="66"/>
      <c r="K43" s="66"/>
      <c r="L43" s="66"/>
      <c r="M43" s="66"/>
      <c r="N43" s="66"/>
      <c r="O43" s="66">
        <v>70</v>
      </c>
      <c r="P43" s="66"/>
      <c r="Q43" s="66"/>
      <c r="R43" s="25"/>
      <c r="S43" s="36"/>
      <c r="T43" s="53">
        <f t="shared" si="5"/>
        <v>-65180.5</v>
      </c>
      <c r="U43" s="42"/>
      <c r="V43" s="42"/>
      <c r="W43" s="42"/>
      <c r="X43" s="42"/>
      <c r="Y43" s="42"/>
    </row>
    <row r="44" ht="15.75" customHeight="1" spans="1:25" x14ac:dyDescent="0.25">
      <c r="A44" s="25"/>
      <c r="B44" s="35">
        <v>987</v>
      </c>
      <c r="C44" s="25" t="s">
        <v>1043</v>
      </c>
      <c r="D44" s="25" t="s">
        <v>279</v>
      </c>
      <c r="E44" s="53">
        <v>520</v>
      </c>
      <c r="F44" s="68"/>
      <c r="G44" s="25"/>
      <c r="H44" s="25"/>
      <c r="I44" s="65"/>
      <c r="J44" s="66"/>
      <c r="K44" s="66"/>
      <c r="L44" s="66"/>
      <c r="M44" s="66"/>
      <c r="N44" s="66"/>
      <c r="O44" s="66"/>
      <c r="P44" s="66">
        <v>520</v>
      </c>
      <c r="Q44" s="66"/>
      <c r="R44" s="25"/>
      <c r="S44" s="36"/>
      <c r="T44" s="53">
        <f t="shared" si="5"/>
        <v>-65700.5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988</v>
      </c>
      <c r="C45" s="25" t="s">
        <v>952</v>
      </c>
      <c r="D45" s="25" t="s">
        <v>295</v>
      </c>
      <c r="E45" s="53">
        <v>900</v>
      </c>
      <c r="F45" s="50"/>
      <c r="G45" s="35"/>
      <c r="H45" s="35"/>
      <c r="I45" s="53"/>
      <c r="J45" s="66"/>
      <c r="K45" s="66"/>
      <c r="L45" s="66"/>
      <c r="M45" s="66"/>
      <c r="N45" s="66"/>
      <c r="O45" s="66"/>
      <c r="P45" s="66"/>
      <c r="Q45" s="66"/>
      <c r="R45" s="25">
        <v>900</v>
      </c>
      <c r="S45" s="36"/>
      <c r="T45" s="53">
        <f t="shared" si="5"/>
        <v>-66600.5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>
        <v>989</v>
      </c>
      <c r="C46" s="25" t="s">
        <v>1044</v>
      </c>
      <c r="D46" s="25" t="s">
        <v>119</v>
      </c>
      <c r="E46" s="53">
        <v>700</v>
      </c>
      <c r="F46" s="50"/>
      <c r="G46" s="25"/>
      <c r="H46" s="25"/>
      <c r="I46" s="53"/>
      <c r="J46" s="66"/>
      <c r="L46" s="66"/>
      <c r="M46" s="66">
        <v>700</v>
      </c>
      <c r="N46" s="66"/>
      <c r="O46" s="66"/>
      <c r="P46" s="66"/>
      <c r="Q46" s="66"/>
      <c r="R46" s="25"/>
      <c r="S46" s="36"/>
      <c r="T46" s="53">
        <f t="shared" si="5"/>
        <v>-67300.5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990</v>
      </c>
      <c r="C47" s="25" t="s">
        <v>170</v>
      </c>
      <c r="D47" s="25" t="s">
        <v>263</v>
      </c>
      <c r="E47" s="53">
        <v>1300</v>
      </c>
      <c r="F47" s="50"/>
      <c r="G47" s="35">
        <v>13</v>
      </c>
      <c r="H47" s="25"/>
      <c r="I47" s="65"/>
      <c r="J47" s="66"/>
      <c r="K47" s="66"/>
      <c r="L47" s="66"/>
      <c r="M47" s="66"/>
      <c r="N47" s="66"/>
      <c r="O47" s="66"/>
      <c r="P47" s="66"/>
      <c r="Q47" s="66"/>
      <c r="R47" s="25"/>
      <c r="S47" s="36"/>
      <c r="T47" s="53">
        <f t="shared" si="5"/>
        <v>-68600.5</v>
      </c>
      <c r="U47" s="42"/>
      <c r="V47" s="42"/>
      <c r="W47" s="42"/>
      <c r="X47" s="42"/>
      <c r="Y47" s="42"/>
    </row>
    <row r="48" ht="15.75" customHeight="1" spans="1:25" x14ac:dyDescent="0.25">
      <c r="A48" s="25" t="s">
        <v>1045</v>
      </c>
      <c r="B48" s="35">
        <v>991</v>
      </c>
      <c r="C48" s="23" t="s">
        <v>13</v>
      </c>
      <c r="D48" s="25" t="s">
        <v>885</v>
      </c>
      <c r="E48" s="53">
        <v>2500</v>
      </c>
      <c r="F48" s="50"/>
      <c r="G48" s="25"/>
      <c r="H48" s="25"/>
      <c r="I48" s="65"/>
      <c r="J48" s="66"/>
      <c r="K48" s="66"/>
      <c r="L48" s="66"/>
      <c r="M48" s="66"/>
      <c r="N48" s="66"/>
      <c r="O48" s="66"/>
      <c r="P48" s="66"/>
      <c r="Q48" s="66">
        <v>2500</v>
      </c>
      <c r="R48" s="25"/>
      <c r="S48" s="36"/>
      <c r="T48" s="53">
        <f t="shared" si="5"/>
        <v>-71100.5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992</v>
      </c>
      <c r="C49" s="25" t="s">
        <v>211</v>
      </c>
      <c r="D49" s="25" t="s">
        <v>119</v>
      </c>
      <c r="E49" s="53">
        <v>600</v>
      </c>
      <c r="F49" s="50"/>
      <c r="G49" s="25"/>
      <c r="H49" s="25"/>
      <c r="I49" s="65"/>
      <c r="J49" s="66"/>
      <c r="K49" s="66"/>
      <c r="L49" s="66"/>
      <c r="M49" s="66">
        <v>600</v>
      </c>
      <c r="N49" s="66"/>
      <c r="O49" s="66"/>
      <c r="P49" s="66"/>
      <c r="Q49" s="66"/>
      <c r="R49" s="25"/>
      <c r="S49" s="36"/>
      <c r="T49" s="53">
        <f t="shared" si="5"/>
        <v>-71700.5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993</v>
      </c>
      <c r="C50" s="25" t="s">
        <v>1046</v>
      </c>
      <c r="D50" s="25" t="s">
        <v>1047</v>
      </c>
      <c r="E50" s="53">
        <v>400</v>
      </c>
      <c r="F50" s="50"/>
      <c r="G50" s="25"/>
      <c r="H50" s="25"/>
      <c r="I50" s="65"/>
      <c r="J50" s="66"/>
      <c r="K50" s="66"/>
      <c r="L50" s="66"/>
      <c r="M50" s="66"/>
      <c r="N50" s="66"/>
      <c r="O50" s="66"/>
      <c r="P50" s="66">
        <v>400</v>
      </c>
      <c r="Q50" s="66"/>
      <c r="R50" s="25"/>
      <c r="S50" s="36"/>
      <c r="T50" s="53">
        <f t="shared" si="5"/>
        <v>-72100.5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/>
      <c r="C51" s="25" t="s">
        <v>1048</v>
      </c>
      <c r="D51" s="25"/>
      <c r="E51" s="53"/>
      <c r="F51" s="68">
        <v>100000</v>
      </c>
      <c r="G51" s="25"/>
      <c r="H51" s="25"/>
      <c r="I51" s="53"/>
      <c r="J51" s="66"/>
      <c r="K51" s="66"/>
      <c r="L51" s="66"/>
      <c r="M51" s="66"/>
      <c r="N51" s="66"/>
      <c r="O51" s="66"/>
      <c r="P51" s="66"/>
      <c r="Q51" s="66"/>
      <c r="R51" s="25"/>
      <c r="S51" s="36"/>
      <c r="T51" s="53">
        <f>T50-E51+100000</f>
        <v>27899.5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994</v>
      </c>
      <c r="C52" s="25" t="s">
        <v>1049</v>
      </c>
      <c r="D52" s="25" t="s">
        <v>1020</v>
      </c>
      <c r="E52" s="53">
        <v>45000</v>
      </c>
      <c r="F52" s="50"/>
      <c r="G52" s="25"/>
      <c r="H52" s="25"/>
      <c r="I52" s="65"/>
      <c r="J52" s="66"/>
      <c r="K52" s="66">
        <v>45000</v>
      </c>
      <c r="L52" s="66"/>
      <c r="M52" s="66"/>
      <c r="N52" s="66"/>
      <c r="O52" s="66"/>
      <c r="P52" s="66"/>
      <c r="Q52" s="66"/>
      <c r="R52" s="25"/>
      <c r="S52" s="36"/>
      <c r="T52" s="53">
        <f t="shared" ref="T52:T62" si="6">T51-E52</f>
        <v>-17100.5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995</v>
      </c>
      <c r="C53" s="25" t="s">
        <v>1022</v>
      </c>
      <c r="D53" s="25" t="s">
        <v>1050</v>
      </c>
      <c r="E53" s="53">
        <v>700</v>
      </c>
      <c r="F53" s="50"/>
      <c r="G53" s="25"/>
      <c r="H53" s="25"/>
      <c r="I53" s="53"/>
      <c r="J53" s="66"/>
      <c r="K53" s="66"/>
      <c r="L53" s="66"/>
      <c r="M53" s="66"/>
      <c r="N53" s="66"/>
      <c r="O53" s="66"/>
      <c r="P53" s="66">
        <v>700</v>
      </c>
      <c r="Q53" s="66"/>
      <c r="R53" s="25"/>
      <c r="S53" s="36"/>
      <c r="T53" s="53">
        <f t="shared" si="6"/>
        <v>-17800.5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996</v>
      </c>
      <c r="C54" s="25" t="s">
        <v>1051</v>
      </c>
      <c r="D54" s="25" t="s">
        <v>1052</v>
      </c>
      <c r="E54" s="53">
        <v>800</v>
      </c>
      <c r="F54" s="50"/>
      <c r="G54" s="25"/>
      <c r="H54" s="25"/>
      <c r="I54" s="53"/>
      <c r="J54" s="66"/>
      <c r="K54" s="66"/>
      <c r="L54" s="66"/>
      <c r="M54" s="66"/>
      <c r="N54" s="66"/>
      <c r="O54" s="66"/>
      <c r="P54" s="66">
        <v>800</v>
      </c>
      <c r="Q54" s="66"/>
      <c r="R54" s="25"/>
      <c r="S54" s="36"/>
      <c r="T54" s="53">
        <f t="shared" si="6"/>
        <v>-18600.5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997</v>
      </c>
      <c r="C55" s="25" t="s">
        <v>170</v>
      </c>
      <c r="D55" s="25" t="s">
        <v>54</v>
      </c>
      <c r="E55" s="53">
        <v>4200</v>
      </c>
      <c r="F55" s="50"/>
      <c r="G55" s="35">
        <v>42</v>
      </c>
      <c r="H55" s="25">
        <v>100</v>
      </c>
      <c r="I55" s="53">
        <f t="shared" ref="I55:I57" si="7">H55*G55</f>
        <v>4200</v>
      </c>
      <c r="J55" s="66"/>
      <c r="K55" s="66"/>
      <c r="L55" s="66"/>
      <c r="M55" s="66"/>
      <c r="N55" s="66"/>
      <c r="O55" s="66"/>
      <c r="P55" s="66"/>
      <c r="Q55" s="66"/>
      <c r="R55" s="25"/>
      <c r="S55" s="36"/>
      <c r="T55" s="53">
        <f t="shared" si="6"/>
        <v>-22800.5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998</v>
      </c>
      <c r="C56" s="25" t="s">
        <v>170</v>
      </c>
      <c r="D56" s="23" t="s">
        <v>618</v>
      </c>
      <c r="E56" s="53">
        <v>22000</v>
      </c>
      <c r="F56" s="50"/>
      <c r="G56" s="35">
        <v>220</v>
      </c>
      <c r="H56" s="25">
        <v>100</v>
      </c>
      <c r="I56" s="53">
        <f t="shared" si="7"/>
        <v>22000</v>
      </c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 t="shared" si="6"/>
        <v>-44800.5</v>
      </c>
      <c r="U56" s="42"/>
      <c r="V56" s="42"/>
      <c r="W56" s="42"/>
      <c r="X56" s="42"/>
      <c r="Y56" s="42"/>
    </row>
    <row r="57" ht="15.75" customHeight="1" spans="1:25" x14ac:dyDescent="0.25">
      <c r="A57" s="25" t="s">
        <v>1053</v>
      </c>
      <c r="B57" s="35">
        <v>999</v>
      </c>
      <c r="C57" s="25" t="s">
        <v>170</v>
      </c>
      <c r="D57" s="25" t="s">
        <v>263</v>
      </c>
      <c r="E57" s="53">
        <v>1400</v>
      </c>
      <c r="F57" s="50"/>
      <c r="G57" s="35">
        <v>14</v>
      </c>
      <c r="H57" s="25">
        <v>100</v>
      </c>
      <c r="I57" s="53">
        <f t="shared" si="7"/>
        <v>1400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si="6"/>
        <v>-46200.5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1000</v>
      </c>
      <c r="C58" s="25" t="s">
        <v>1044</v>
      </c>
      <c r="D58" s="25" t="s">
        <v>119</v>
      </c>
      <c r="E58" s="53">
        <v>700</v>
      </c>
      <c r="F58" s="50"/>
      <c r="G58" s="25"/>
      <c r="H58" s="25"/>
      <c r="I58" s="65"/>
      <c r="J58" s="66"/>
      <c r="K58" s="66"/>
      <c r="L58" s="66"/>
      <c r="M58" s="66">
        <v>700</v>
      </c>
      <c r="N58" s="66"/>
      <c r="O58" s="66"/>
      <c r="P58" s="66"/>
      <c r="Q58" s="66"/>
      <c r="R58" s="25"/>
      <c r="S58" s="36"/>
      <c r="T58" s="53">
        <f t="shared" si="6"/>
        <v>-46900.5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1001</v>
      </c>
      <c r="C59" s="25" t="s">
        <v>1054</v>
      </c>
      <c r="D59" s="25" t="s">
        <v>1055</v>
      </c>
      <c r="E59" s="53">
        <v>1020</v>
      </c>
      <c r="F59" s="50"/>
      <c r="G59" s="35"/>
      <c r="H59" s="35"/>
      <c r="I59" s="53">
        <v>1020</v>
      </c>
      <c r="J59" s="66"/>
      <c r="K59" s="66"/>
      <c r="L59" s="66"/>
      <c r="M59" s="67"/>
      <c r="N59" s="66"/>
      <c r="O59" s="66"/>
      <c r="P59" s="66"/>
      <c r="Q59" s="66"/>
      <c r="R59" s="25"/>
      <c r="S59" s="36"/>
      <c r="T59" s="53">
        <f t="shared" si="6"/>
        <v>-47920.5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1002</v>
      </c>
      <c r="C60" s="25" t="s">
        <v>1056</v>
      </c>
      <c r="D60" s="25" t="s">
        <v>1057</v>
      </c>
      <c r="E60" s="53">
        <v>250</v>
      </c>
      <c r="F60" s="50"/>
      <c r="G60" s="35"/>
      <c r="H60" s="53"/>
      <c r="I60" s="53"/>
      <c r="J60" s="66"/>
      <c r="K60" s="66"/>
      <c r="L60" s="66"/>
      <c r="M60" s="66"/>
      <c r="N60" s="66">
        <v>250</v>
      </c>
      <c r="O60" s="66"/>
      <c r="P60" s="67"/>
      <c r="Q60" s="66"/>
      <c r="R60" s="25"/>
      <c r="S60" s="36"/>
      <c r="T60" s="53">
        <f t="shared" si="6"/>
        <v>-48170.5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1003</v>
      </c>
      <c r="C61" s="25" t="s">
        <v>170</v>
      </c>
      <c r="D61" s="25" t="s">
        <v>52</v>
      </c>
      <c r="E61" s="53">
        <v>1100</v>
      </c>
      <c r="F61" s="50"/>
      <c r="G61" s="35">
        <v>11</v>
      </c>
      <c r="H61" s="35">
        <v>100</v>
      </c>
      <c r="I61" s="53">
        <f t="shared" ref="I61:I62" si="8">H61*G61</f>
        <v>1100</v>
      </c>
      <c r="J61" s="66"/>
      <c r="K61" s="66"/>
      <c r="L61" s="66"/>
      <c r="M61" s="66"/>
      <c r="N61" s="66"/>
      <c r="O61" s="66"/>
      <c r="P61" s="66"/>
      <c r="Q61" s="66"/>
      <c r="R61" s="25"/>
      <c r="S61" s="36"/>
      <c r="T61" s="53">
        <f t="shared" si="6"/>
        <v>-49270.5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1004</v>
      </c>
      <c r="C62" s="25" t="s">
        <v>170</v>
      </c>
      <c r="D62" s="25" t="s">
        <v>54</v>
      </c>
      <c r="E62" s="53">
        <v>8500</v>
      </c>
      <c r="F62" s="50"/>
      <c r="G62" s="35">
        <v>85</v>
      </c>
      <c r="H62" s="25">
        <v>100</v>
      </c>
      <c r="I62" s="53">
        <f t="shared" si="8"/>
        <v>8500</v>
      </c>
      <c r="J62" s="66"/>
      <c r="K62" s="66"/>
      <c r="L62" s="66"/>
      <c r="M62" s="66"/>
      <c r="N62" s="66"/>
      <c r="O62" s="66"/>
      <c r="P62" s="66"/>
      <c r="Q62" s="66"/>
      <c r="R62" s="25"/>
      <c r="S62" s="36"/>
      <c r="T62" s="53">
        <f t="shared" si="6"/>
        <v>-57770.5</v>
      </c>
      <c r="U62" s="42"/>
      <c r="V62" s="42"/>
      <c r="W62" s="42"/>
      <c r="X62" s="42"/>
      <c r="Y62" s="42"/>
    </row>
    <row r="63" ht="15.75" customHeight="1" spans="1:25" x14ac:dyDescent="0.25">
      <c r="A63" s="25" t="s">
        <v>1058</v>
      </c>
      <c r="B63" s="35"/>
      <c r="C63" s="48" t="s">
        <v>1048</v>
      </c>
      <c r="D63" s="25"/>
      <c r="E63" s="53"/>
      <c r="F63" s="68">
        <v>100000</v>
      </c>
      <c r="G63" s="25"/>
      <c r="H63" s="25"/>
      <c r="I63" s="65"/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>T62-E63+100000</f>
        <v>42229.5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88">
        <v>1005</v>
      </c>
      <c r="C64" s="15" t="s">
        <v>1059</v>
      </c>
      <c r="D64" s="25" t="s">
        <v>268</v>
      </c>
      <c r="E64" s="53">
        <v>1750</v>
      </c>
      <c r="F64" s="50"/>
      <c r="G64" s="25"/>
      <c r="H64" s="25"/>
      <c r="I64" s="65"/>
      <c r="J64" s="66"/>
      <c r="K64" s="66"/>
      <c r="L64" s="66"/>
      <c r="M64" s="66"/>
      <c r="N64" s="66">
        <v>1750</v>
      </c>
      <c r="O64" s="67"/>
      <c r="P64" s="66"/>
      <c r="Q64" s="66"/>
      <c r="R64" s="25"/>
      <c r="S64" s="36"/>
      <c r="T64" s="53">
        <f t="shared" ref="T64:T97" si="9">T63-E64</f>
        <v>40479.5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1006</v>
      </c>
      <c r="C65" s="25" t="s">
        <v>1060</v>
      </c>
      <c r="D65" s="25" t="s">
        <v>557</v>
      </c>
      <c r="E65" s="53">
        <v>1440</v>
      </c>
      <c r="F65" s="50"/>
      <c r="G65" s="25"/>
      <c r="H65" s="35"/>
      <c r="I65" s="53"/>
      <c r="J65" s="66"/>
      <c r="K65" s="66"/>
      <c r="L65" s="66"/>
      <c r="M65" s="66"/>
      <c r="N65" s="66"/>
      <c r="O65" s="67"/>
      <c r="P65" s="66">
        <v>1440</v>
      </c>
      <c r="Q65" s="66"/>
      <c r="R65" s="25"/>
      <c r="S65" s="36"/>
      <c r="T65" s="53">
        <f t="shared" si="9"/>
        <v>39039.5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1007</v>
      </c>
      <c r="C66" s="25" t="s">
        <v>13</v>
      </c>
      <c r="D66" s="25" t="s">
        <v>1061</v>
      </c>
      <c r="E66" s="53">
        <v>2500</v>
      </c>
      <c r="F66" s="50"/>
      <c r="G66" s="35"/>
      <c r="H66" s="35"/>
      <c r="I66" s="53"/>
      <c r="J66" s="66"/>
      <c r="K66" s="66"/>
      <c r="L66" s="66"/>
      <c r="M66" s="66"/>
      <c r="N66" s="66"/>
      <c r="O66" s="66"/>
      <c r="P66" s="66"/>
      <c r="Q66" s="67">
        <v>2500</v>
      </c>
      <c r="R66" s="25"/>
      <c r="S66" s="36"/>
      <c r="T66" s="53">
        <f t="shared" si="9"/>
        <v>36539.5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1008</v>
      </c>
      <c r="C67" s="25" t="s">
        <v>170</v>
      </c>
      <c r="D67" s="25" t="s">
        <v>420</v>
      </c>
      <c r="E67" s="53">
        <v>1400</v>
      </c>
      <c r="F67" s="50"/>
      <c r="G67" s="35">
        <v>14</v>
      </c>
      <c r="H67" s="35">
        <v>100</v>
      </c>
      <c r="I67" s="53">
        <v>1400</v>
      </c>
      <c r="J67" s="66"/>
      <c r="K67" s="66"/>
      <c r="L67" s="66"/>
      <c r="M67" s="66"/>
      <c r="N67" s="66"/>
      <c r="O67" s="66"/>
      <c r="P67" s="67"/>
      <c r="Q67" s="66"/>
      <c r="R67" s="25"/>
      <c r="S67" s="36"/>
      <c r="T67" s="53">
        <f t="shared" si="9"/>
        <v>35139.5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1009</v>
      </c>
      <c r="C68" s="25" t="s">
        <v>170</v>
      </c>
      <c r="D68" s="25" t="s">
        <v>200</v>
      </c>
      <c r="E68" s="53">
        <v>42700</v>
      </c>
      <c r="F68" s="50"/>
      <c r="G68" s="35">
        <v>427</v>
      </c>
      <c r="H68" s="25">
        <v>100</v>
      </c>
      <c r="I68" s="65">
        <v>42700</v>
      </c>
      <c r="J68" s="66"/>
      <c r="K68" s="66"/>
      <c r="L68" s="66"/>
      <c r="M68" s="66"/>
      <c r="N68" s="66"/>
      <c r="O68" s="66"/>
      <c r="P68" s="66"/>
      <c r="Q68" s="66"/>
      <c r="R68" s="25"/>
      <c r="S68" s="36"/>
      <c r="T68" s="53">
        <f t="shared" si="9"/>
        <v>-7560.5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1010</v>
      </c>
      <c r="C69" s="25" t="s">
        <v>1062</v>
      </c>
      <c r="D69" s="25" t="s">
        <v>1063</v>
      </c>
      <c r="E69" s="53">
        <v>4500</v>
      </c>
      <c r="F69" s="50"/>
      <c r="G69" s="25"/>
      <c r="H69" s="35"/>
      <c r="I69" s="53"/>
      <c r="J69" s="66"/>
      <c r="K69" s="66"/>
      <c r="L69" s="66"/>
      <c r="M69" s="66"/>
      <c r="N69" s="66">
        <v>4500</v>
      </c>
      <c r="O69" s="66"/>
      <c r="P69" s="66"/>
      <c r="Q69" s="66"/>
      <c r="R69" s="25"/>
      <c r="S69" s="36"/>
      <c r="T69" s="53">
        <f t="shared" si="9"/>
        <v>-12060.5</v>
      </c>
      <c r="U69" s="42"/>
      <c r="V69" s="42"/>
      <c r="W69" s="42"/>
      <c r="X69" s="42"/>
      <c r="Y69" s="42"/>
    </row>
    <row r="70" ht="15.75" customHeight="1" spans="1:25" x14ac:dyDescent="0.25">
      <c r="A70" s="25" t="s">
        <v>1064</v>
      </c>
      <c r="B70" s="35">
        <v>1011</v>
      </c>
      <c r="C70" s="25" t="s">
        <v>1065</v>
      </c>
      <c r="D70" s="25" t="s">
        <v>479</v>
      </c>
      <c r="E70" s="53">
        <v>1130</v>
      </c>
      <c r="F70" s="50"/>
      <c r="G70" s="25"/>
      <c r="H70" s="25"/>
      <c r="I70" s="65"/>
      <c r="J70" s="66"/>
      <c r="K70" s="66"/>
      <c r="L70" s="66"/>
      <c r="M70" s="66"/>
      <c r="N70" s="66"/>
      <c r="O70" s="66"/>
      <c r="P70" s="66">
        <v>1130</v>
      </c>
      <c r="Q70" s="66"/>
      <c r="R70" s="25"/>
      <c r="S70" s="36"/>
      <c r="T70" s="53">
        <f t="shared" si="9"/>
        <v>-13190.5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1012</v>
      </c>
      <c r="C71" s="25" t="s">
        <v>170</v>
      </c>
      <c r="D71" s="25" t="s">
        <v>618</v>
      </c>
      <c r="E71" s="53">
        <v>18400</v>
      </c>
      <c r="F71" s="50"/>
      <c r="G71" s="35">
        <v>184</v>
      </c>
      <c r="H71" s="25">
        <v>100</v>
      </c>
      <c r="I71" s="65">
        <v>18400</v>
      </c>
      <c r="J71" s="66"/>
      <c r="K71" s="66"/>
      <c r="L71" s="66"/>
      <c r="M71" s="66"/>
      <c r="N71" s="66"/>
      <c r="O71" s="66"/>
      <c r="P71" s="66"/>
      <c r="Q71" s="66"/>
      <c r="R71" s="25"/>
      <c r="S71" s="36"/>
      <c r="T71" s="53">
        <f t="shared" si="9"/>
        <v>-31590.5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1066</v>
      </c>
      <c r="B72" s="35">
        <v>1013</v>
      </c>
      <c r="C72" s="25" t="s">
        <v>1067</v>
      </c>
      <c r="D72" s="25" t="s">
        <v>268</v>
      </c>
      <c r="E72" s="53">
        <v>6230</v>
      </c>
      <c r="F72" s="50"/>
      <c r="G72" s="25"/>
      <c r="H72" s="25"/>
      <c r="I72" s="65"/>
      <c r="J72" s="66"/>
      <c r="K72" s="66"/>
      <c r="L72" s="66"/>
      <c r="M72" s="66"/>
      <c r="N72" s="66">
        <v>6230</v>
      </c>
      <c r="O72" s="66"/>
      <c r="P72" s="66"/>
      <c r="Q72" s="66"/>
      <c r="R72" s="25"/>
      <c r="S72" s="36"/>
      <c r="T72" s="53">
        <f t="shared" si="9"/>
        <v>-37820.5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1014</v>
      </c>
      <c r="C73" s="25" t="s">
        <v>960</v>
      </c>
      <c r="D73" s="25" t="s">
        <v>28</v>
      </c>
      <c r="E73" s="53">
        <v>840</v>
      </c>
      <c r="F73" s="68"/>
      <c r="G73" s="25"/>
      <c r="H73" s="25"/>
      <c r="I73" s="65"/>
      <c r="J73" s="66"/>
      <c r="K73" s="66"/>
      <c r="L73" s="66">
        <v>840</v>
      </c>
      <c r="M73" s="66"/>
      <c r="N73" s="66"/>
      <c r="O73" s="66"/>
      <c r="P73" s="66"/>
      <c r="Q73" s="66"/>
      <c r="R73" s="25"/>
      <c r="S73" s="36"/>
      <c r="T73" s="53">
        <f t="shared" si="9"/>
        <v>-38660.5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1015</v>
      </c>
      <c r="C74" s="25" t="s">
        <v>170</v>
      </c>
      <c r="D74" s="25" t="s">
        <v>420</v>
      </c>
      <c r="E74" s="53">
        <v>3500</v>
      </c>
      <c r="F74" s="50"/>
      <c r="G74" s="35">
        <v>35</v>
      </c>
      <c r="H74" s="35">
        <v>100</v>
      </c>
      <c r="I74" s="53">
        <v>3500</v>
      </c>
      <c r="J74" s="66"/>
      <c r="K74" s="66"/>
      <c r="L74" s="66"/>
      <c r="M74" s="66"/>
      <c r="N74" s="66"/>
      <c r="O74" s="66"/>
      <c r="P74" s="66"/>
      <c r="Q74" s="66"/>
      <c r="R74" s="25"/>
      <c r="S74" s="36"/>
      <c r="T74" s="53">
        <f t="shared" si="9"/>
        <v>-42160.5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>
        <v>1016</v>
      </c>
      <c r="C75" s="25" t="s">
        <v>170</v>
      </c>
      <c r="D75" s="25" t="s">
        <v>618</v>
      </c>
      <c r="E75" s="53">
        <v>24800</v>
      </c>
      <c r="F75" s="50"/>
      <c r="G75" s="35">
        <v>248</v>
      </c>
      <c r="H75" s="35">
        <v>100</v>
      </c>
      <c r="I75" s="53">
        <v>24800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9"/>
        <v>-66960.5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>
        <v>1017</v>
      </c>
      <c r="C76" s="25" t="s">
        <v>170</v>
      </c>
      <c r="D76" s="25" t="s">
        <v>220</v>
      </c>
      <c r="E76" s="53">
        <v>9600</v>
      </c>
      <c r="F76" s="50"/>
      <c r="G76" s="35">
        <v>96</v>
      </c>
      <c r="H76" s="35">
        <v>100</v>
      </c>
      <c r="I76" s="53">
        <v>9600</v>
      </c>
      <c r="J76" s="66"/>
      <c r="K76" s="67"/>
      <c r="L76" s="66"/>
      <c r="M76" s="66"/>
      <c r="N76" s="66"/>
      <c r="O76" s="66"/>
      <c r="P76" s="66"/>
      <c r="Q76" s="66"/>
      <c r="R76" s="25"/>
      <c r="S76" s="36"/>
      <c r="T76" s="53">
        <f t="shared" si="9"/>
        <v>-76560.5</v>
      </c>
      <c r="U76" s="42"/>
      <c r="V76" s="42"/>
      <c r="W76" s="42"/>
      <c r="X76" s="42"/>
      <c r="Y76" s="42"/>
    </row>
    <row r="77" ht="15.75" customHeight="1" spans="1:25" x14ac:dyDescent="0.25">
      <c r="A77" s="25" t="s">
        <v>1068</v>
      </c>
      <c r="B77" s="35">
        <v>1018</v>
      </c>
      <c r="C77" s="25" t="s">
        <v>1028</v>
      </c>
      <c r="D77" s="25" t="s">
        <v>1029</v>
      </c>
      <c r="E77" s="53">
        <v>1000</v>
      </c>
      <c r="F77" s="50"/>
      <c r="G77" s="35"/>
      <c r="H77" s="35"/>
      <c r="I77" s="53"/>
      <c r="J77" s="66"/>
      <c r="K77" s="66">
        <v>1000</v>
      </c>
      <c r="L77" s="66"/>
      <c r="M77" s="66"/>
      <c r="N77" s="66"/>
      <c r="O77" s="66"/>
      <c r="P77" s="66"/>
      <c r="Q77" s="66"/>
      <c r="R77" s="25"/>
      <c r="S77" s="36"/>
      <c r="T77" s="53">
        <f t="shared" si="9"/>
        <v>-77560.5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1019</v>
      </c>
      <c r="C78" s="25" t="s">
        <v>1026</v>
      </c>
      <c r="D78" s="25" t="s">
        <v>1069</v>
      </c>
      <c r="E78" s="53">
        <v>1000</v>
      </c>
      <c r="F78" s="50"/>
      <c r="G78" s="35"/>
      <c r="H78" s="35"/>
      <c r="I78" s="53"/>
      <c r="J78" s="66"/>
      <c r="K78" s="66">
        <v>1000</v>
      </c>
      <c r="L78" s="66"/>
      <c r="M78" s="66"/>
      <c r="N78" s="66"/>
      <c r="O78" s="66"/>
      <c r="P78" s="66"/>
      <c r="Q78" s="66"/>
      <c r="R78" s="25"/>
      <c r="S78" s="36"/>
      <c r="T78" s="53">
        <f t="shared" si="9"/>
        <v>-78560.5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1020</v>
      </c>
      <c r="C79" s="25" t="s">
        <v>1070</v>
      </c>
      <c r="D79" s="25" t="s">
        <v>557</v>
      </c>
      <c r="E79" s="53">
        <v>4500</v>
      </c>
      <c r="F79" s="50"/>
      <c r="G79" s="35"/>
      <c r="H79" s="25"/>
      <c r="I79" s="65"/>
      <c r="J79" s="66"/>
      <c r="K79" s="66"/>
      <c r="L79" s="66"/>
      <c r="M79" s="66"/>
      <c r="N79" s="66"/>
      <c r="O79" s="66"/>
      <c r="P79" s="66"/>
      <c r="Q79" s="66"/>
      <c r="R79" s="25">
        <v>4500</v>
      </c>
      <c r="S79" s="36"/>
      <c r="T79" s="53">
        <f t="shared" si="9"/>
        <v>-83060.5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1021</v>
      </c>
      <c r="C80" s="25" t="s">
        <v>1071</v>
      </c>
      <c r="D80" s="25" t="s">
        <v>1072</v>
      </c>
      <c r="E80" s="53">
        <v>600</v>
      </c>
      <c r="F80" s="68"/>
      <c r="G80" s="25"/>
      <c r="H80" s="25"/>
      <c r="I80" s="65"/>
      <c r="J80" s="66"/>
      <c r="K80" s="66"/>
      <c r="L80" s="66"/>
      <c r="M80" s="66"/>
      <c r="N80" s="66"/>
      <c r="O80" s="66"/>
      <c r="P80" s="67"/>
      <c r="Q80" s="66"/>
      <c r="R80" s="25">
        <v>600</v>
      </c>
      <c r="S80" s="36"/>
      <c r="T80" s="53">
        <f t="shared" si="9"/>
        <v>-83660.5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1022</v>
      </c>
      <c r="C81" s="25" t="s">
        <v>1073</v>
      </c>
      <c r="D81" s="25" t="s">
        <v>1074</v>
      </c>
      <c r="E81" s="53">
        <v>8000</v>
      </c>
      <c r="F81" s="50"/>
      <c r="G81" s="35"/>
      <c r="H81" s="25"/>
      <c r="I81" s="65"/>
      <c r="J81" s="66"/>
      <c r="K81" s="66">
        <v>8000</v>
      </c>
      <c r="L81" s="66"/>
      <c r="M81" s="66"/>
      <c r="N81" s="66"/>
      <c r="O81" s="66"/>
      <c r="P81" s="66"/>
      <c r="Q81" s="67"/>
      <c r="R81" s="25"/>
      <c r="S81" s="36"/>
      <c r="T81" s="53">
        <f t="shared" si="9"/>
        <v>-91660.5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1023</v>
      </c>
      <c r="C82" s="25" t="s">
        <v>170</v>
      </c>
      <c r="D82" s="25" t="s">
        <v>1075</v>
      </c>
      <c r="E82" s="53">
        <v>9500</v>
      </c>
      <c r="F82" s="50"/>
      <c r="G82" s="35">
        <v>95</v>
      </c>
      <c r="H82" s="25">
        <v>100</v>
      </c>
      <c r="I82" s="65">
        <v>9500</v>
      </c>
      <c r="J82" s="66"/>
      <c r="K82" s="66"/>
      <c r="L82" s="66"/>
      <c r="M82" s="66"/>
      <c r="N82" s="66"/>
      <c r="O82" s="66"/>
      <c r="P82" s="67"/>
      <c r="Q82" s="66"/>
      <c r="R82" s="25"/>
      <c r="S82" s="36"/>
      <c r="T82" s="53">
        <f t="shared" si="9"/>
        <v>-101160.5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>
        <v>1024</v>
      </c>
      <c r="C83" s="25" t="s">
        <v>170</v>
      </c>
      <c r="D83" s="25" t="s">
        <v>618</v>
      </c>
      <c r="E83" s="53">
        <v>16300</v>
      </c>
      <c r="F83" s="50"/>
      <c r="G83" s="35">
        <v>163</v>
      </c>
      <c r="H83" s="35">
        <v>100</v>
      </c>
      <c r="I83" s="53">
        <v>16300</v>
      </c>
      <c r="J83" s="66"/>
      <c r="K83" s="66"/>
      <c r="L83" s="66"/>
      <c r="M83" s="66"/>
      <c r="N83" s="66"/>
      <c r="O83" s="66"/>
      <c r="P83" s="67"/>
      <c r="Q83" s="66"/>
      <c r="R83" s="25"/>
      <c r="S83" s="36"/>
      <c r="T83" s="53">
        <f t="shared" si="9"/>
        <v>-117460.5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1025</v>
      </c>
      <c r="C84" s="25" t="s">
        <v>431</v>
      </c>
      <c r="D84" s="25" t="s">
        <v>618</v>
      </c>
      <c r="E84" s="53">
        <v>6400</v>
      </c>
      <c r="F84" s="50"/>
      <c r="G84" s="35">
        <v>64</v>
      </c>
      <c r="H84" s="35">
        <v>100</v>
      </c>
      <c r="I84" s="53">
        <v>6400</v>
      </c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9"/>
        <v>-123860.5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>
        <v>1026</v>
      </c>
      <c r="C85" s="25" t="s">
        <v>1076</v>
      </c>
      <c r="D85" s="25" t="s">
        <v>279</v>
      </c>
      <c r="E85" s="53">
        <v>1440</v>
      </c>
      <c r="F85" s="50"/>
      <c r="G85" s="35"/>
      <c r="H85" s="35"/>
      <c r="I85" s="53"/>
      <c r="J85" s="66"/>
      <c r="K85" s="66"/>
      <c r="L85" s="66"/>
      <c r="M85" s="66"/>
      <c r="N85" s="66"/>
      <c r="O85" s="66"/>
      <c r="P85" s="66"/>
      <c r="Q85" s="66"/>
      <c r="R85" s="25">
        <v>1440</v>
      </c>
      <c r="S85" s="36"/>
      <c r="T85" s="53">
        <f t="shared" si="9"/>
        <v>-125300.5</v>
      </c>
      <c r="U85" s="42"/>
      <c r="V85" s="42"/>
      <c r="W85" s="42"/>
      <c r="X85" s="42"/>
      <c r="Y85" s="42"/>
    </row>
    <row r="86" ht="15.75" customHeight="1" spans="1:25" x14ac:dyDescent="0.25">
      <c r="A86" s="25" t="s">
        <v>1077</v>
      </c>
      <c r="B86" s="35">
        <v>1027</v>
      </c>
      <c r="C86" s="25" t="s">
        <v>250</v>
      </c>
      <c r="D86" s="25" t="s">
        <v>52</v>
      </c>
      <c r="E86" s="53">
        <v>2600</v>
      </c>
      <c r="F86" s="50"/>
      <c r="G86" s="35">
        <v>26</v>
      </c>
      <c r="H86" s="35">
        <v>100</v>
      </c>
      <c r="I86" s="53">
        <v>2600</v>
      </c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9"/>
        <v>-127900.5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1028</v>
      </c>
      <c r="C87" s="25" t="s">
        <v>1078</v>
      </c>
      <c r="D87" s="25" t="s">
        <v>1079</v>
      </c>
      <c r="E87" s="53">
        <v>1560</v>
      </c>
      <c r="F87" s="50"/>
      <c r="G87" s="25"/>
      <c r="H87" s="25"/>
      <c r="I87" s="65"/>
      <c r="J87" s="66"/>
      <c r="K87" s="66">
        <v>1560</v>
      </c>
      <c r="L87" s="66"/>
      <c r="M87" s="66"/>
      <c r="N87" s="66"/>
      <c r="O87" s="66"/>
      <c r="P87" s="66"/>
      <c r="Q87" s="66"/>
      <c r="R87" s="25"/>
      <c r="S87" s="36"/>
      <c r="T87" s="53">
        <f t="shared" si="9"/>
        <v>-129460.5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1029</v>
      </c>
      <c r="C88" s="25" t="s">
        <v>1080</v>
      </c>
      <c r="D88" s="25" t="s">
        <v>1081</v>
      </c>
      <c r="E88" s="53">
        <v>1050</v>
      </c>
      <c r="F88" s="50"/>
      <c r="G88" s="25"/>
      <c r="H88" s="25"/>
      <c r="I88" s="65"/>
      <c r="J88" s="66"/>
      <c r="K88" s="66">
        <v>1050</v>
      </c>
      <c r="L88" s="66"/>
      <c r="M88" s="66"/>
      <c r="N88" s="66"/>
      <c r="O88" s="66"/>
      <c r="P88" s="66"/>
      <c r="Q88" s="66"/>
      <c r="R88" s="25"/>
      <c r="S88" s="36"/>
      <c r="T88" s="53">
        <f t="shared" si="9"/>
        <v>-130510.5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1030</v>
      </c>
      <c r="C89" s="25" t="s">
        <v>653</v>
      </c>
      <c r="D89" s="25" t="s">
        <v>1082</v>
      </c>
      <c r="E89" s="53">
        <v>410</v>
      </c>
      <c r="F89" s="50"/>
      <c r="G89" s="25"/>
      <c r="H89" s="25"/>
      <c r="I89" s="65"/>
      <c r="J89" s="66"/>
      <c r="K89" s="66"/>
      <c r="L89" s="66"/>
      <c r="M89" s="66"/>
      <c r="N89" s="66"/>
      <c r="O89" s="66"/>
      <c r="P89" s="66">
        <v>410</v>
      </c>
      <c r="Q89" s="66"/>
      <c r="R89" s="25"/>
      <c r="S89" s="36"/>
      <c r="T89" s="53">
        <f t="shared" si="9"/>
        <v>-130920.5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>
        <v>1031</v>
      </c>
      <c r="C90" s="25" t="s">
        <v>1083</v>
      </c>
      <c r="D90" s="25" t="s">
        <v>1084</v>
      </c>
      <c r="E90" s="53">
        <v>450</v>
      </c>
      <c r="F90" s="50"/>
      <c r="G90" s="25"/>
      <c r="H90" s="35"/>
      <c r="I90" s="53"/>
      <c r="J90" s="66"/>
      <c r="K90" s="66">
        <v>450</v>
      </c>
      <c r="L90" s="66"/>
      <c r="M90" s="66"/>
      <c r="N90" s="66"/>
      <c r="O90" s="66"/>
      <c r="P90" s="66"/>
      <c r="Q90" s="66"/>
      <c r="R90" s="25"/>
      <c r="S90" s="36"/>
      <c r="T90" s="53">
        <f t="shared" si="9"/>
        <v>-131370.5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>
        <v>1032</v>
      </c>
      <c r="C91" s="25" t="s">
        <v>1085</v>
      </c>
      <c r="D91" s="25" t="s">
        <v>1086</v>
      </c>
      <c r="E91" s="53">
        <v>645</v>
      </c>
      <c r="F91" s="50"/>
      <c r="G91" s="25"/>
      <c r="H91" s="35"/>
      <c r="I91" s="53"/>
      <c r="J91" s="66"/>
      <c r="K91" s="66">
        <v>645</v>
      </c>
      <c r="L91" s="66"/>
      <c r="M91" s="66"/>
      <c r="N91" s="66"/>
      <c r="O91" s="66"/>
      <c r="P91" s="66"/>
      <c r="Q91" s="66"/>
      <c r="R91" s="25"/>
      <c r="S91" s="36"/>
      <c r="T91" s="53">
        <f t="shared" si="9"/>
        <v>-132015.5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1033</v>
      </c>
      <c r="C92" s="25" t="s">
        <v>13</v>
      </c>
      <c r="D92" s="25" t="s">
        <v>104</v>
      </c>
      <c r="E92" s="53">
        <v>3000</v>
      </c>
      <c r="F92" s="50"/>
      <c r="G92" s="35"/>
      <c r="H92" s="35"/>
      <c r="I92" s="53"/>
      <c r="J92" s="66"/>
      <c r="K92" s="66"/>
      <c r="L92" s="66"/>
      <c r="M92" s="66"/>
      <c r="N92" s="66"/>
      <c r="O92" s="66"/>
      <c r="P92" s="66"/>
      <c r="Q92" s="66">
        <v>3000</v>
      </c>
      <c r="R92" s="25"/>
      <c r="S92" s="36"/>
      <c r="T92" s="53">
        <f t="shared" si="9"/>
        <v>-135015.5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1034</v>
      </c>
      <c r="C93" s="25" t="s">
        <v>384</v>
      </c>
      <c r="D93" s="25" t="s">
        <v>1087</v>
      </c>
      <c r="E93" s="53">
        <v>400</v>
      </c>
      <c r="F93" s="50"/>
      <c r="G93" s="35"/>
      <c r="H93" s="35"/>
      <c r="I93" s="53"/>
      <c r="J93" s="66"/>
      <c r="K93" s="66"/>
      <c r="L93" s="66"/>
      <c r="M93" s="66"/>
      <c r="N93" s="66"/>
      <c r="O93" s="66"/>
      <c r="P93" s="66">
        <v>400</v>
      </c>
      <c r="Q93" s="66"/>
      <c r="R93" s="25"/>
      <c r="S93" s="36"/>
      <c r="T93" s="53">
        <f t="shared" si="9"/>
        <v>-135415.5</v>
      </c>
      <c r="U93" s="42"/>
      <c r="V93" s="42"/>
      <c r="W93" s="42"/>
      <c r="X93" s="42"/>
      <c r="Y93" s="42"/>
    </row>
    <row r="94" ht="15.75" customHeight="1" spans="1:25" x14ac:dyDescent="0.25">
      <c r="A94" s="25" t="s">
        <v>1088</v>
      </c>
      <c r="B94" s="35">
        <v>1035</v>
      </c>
      <c r="C94" s="25" t="s">
        <v>94</v>
      </c>
      <c r="D94" s="25" t="s">
        <v>420</v>
      </c>
      <c r="E94" s="53">
        <v>2700</v>
      </c>
      <c r="F94" s="50"/>
      <c r="G94" s="35">
        <v>18</v>
      </c>
      <c r="H94" s="35">
        <v>150</v>
      </c>
      <c r="I94" s="53">
        <v>2700</v>
      </c>
      <c r="J94" s="66"/>
      <c r="K94" s="67"/>
      <c r="L94" s="66"/>
      <c r="M94" s="66"/>
      <c r="N94" s="66"/>
      <c r="O94" s="66"/>
      <c r="P94" s="66"/>
      <c r="Q94" s="66"/>
      <c r="R94" s="25"/>
      <c r="S94" s="36"/>
      <c r="T94" s="53">
        <f t="shared" si="9"/>
        <v>-138115.5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>
        <v>1036</v>
      </c>
      <c r="C95" s="25" t="s">
        <v>170</v>
      </c>
      <c r="D95" s="25" t="s">
        <v>507</v>
      </c>
      <c r="E95" s="53">
        <v>2800</v>
      </c>
      <c r="F95" s="50"/>
      <c r="G95" s="35">
        <v>28</v>
      </c>
      <c r="H95" s="35">
        <v>100</v>
      </c>
      <c r="I95" s="53">
        <v>2800</v>
      </c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9"/>
        <v>-140915.5</v>
      </c>
      <c r="U95" s="42"/>
      <c r="V95" s="42"/>
      <c r="W95" s="42"/>
      <c r="X95" s="42"/>
      <c r="Y95" s="42"/>
    </row>
    <row r="96" ht="15.75" customHeight="1" spans="1:25" x14ac:dyDescent="0.25">
      <c r="A96" s="25" t="s">
        <v>1089</v>
      </c>
      <c r="B96" s="35">
        <v>1037</v>
      </c>
      <c r="C96" s="25" t="s">
        <v>1090</v>
      </c>
      <c r="D96" s="25" t="s">
        <v>1091</v>
      </c>
      <c r="E96" s="53">
        <v>1000</v>
      </c>
      <c r="F96" s="50"/>
      <c r="G96" s="35"/>
      <c r="H96" s="35"/>
      <c r="I96" s="53"/>
      <c r="J96" s="66"/>
      <c r="K96" s="66">
        <v>1000</v>
      </c>
      <c r="L96" s="66"/>
      <c r="M96" s="66"/>
      <c r="N96" s="66"/>
      <c r="O96" s="66"/>
      <c r="P96" s="66"/>
      <c r="Q96" s="66"/>
      <c r="R96" s="25"/>
      <c r="S96" s="36"/>
      <c r="T96" s="53">
        <f t="shared" si="9"/>
        <v>-141915.5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1038</v>
      </c>
      <c r="C97" s="25" t="s">
        <v>945</v>
      </c>
      <c r="D97" s="25" t="s">
        <v>1029</v>
      </c>
      <c r="E97" s="53">
        <v>2000</v>
      </c>
      <c r="F97" s="50"/>
      <c r="G97" s="35"/>
      <c r="H97" s="35"/>
      <c r="I97" s="53"/>
      <c r="J97" s="66"/>
      <c r="K97" s="66">
        <v>2000</v>
      </c>
      <c r="L97" s="66"/>
      <c r="M97" s="66"/>
      <c r="N97" s="66"/>
      <c r="O97" s="66"/>
      <c r="P97" s="66"/>
      <c r="Q97" s="67"/>
      <c r="R97" s="25"/>
      <c r="S97" s="36"/>
      <c r="T97" s="53">
        <f t="shared" si="9"/>
        <v>-143915.5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/>
      <c r="C98" s="25" t="s">
        <v>1092</v>
      </c>
      <c r="D98" s="25"/>
      <c r="E98" s="53"/>
      <c r="F98" s="68">
        <v>200000</v>
      </c>
      <c r="G98" s="35"/>
      <c r="H98" s="35"/>
      <c r="I98" s="53"/>
      <c r="J98" s="66"/>
      <c r="K98" s="66"/>
      <c r="L98" s="66"/>
      <c r="M98" s="66"/>
      <c r="N98" s="66"/>
      <c r="O98" s="66"/>
      <c r="P98" s="66"/>
      <c r="Q98" s="66"/>
      <c r="R98" s="25"/>
      <c r="S98" s="36"/>
      <c r="T98" s="53">
        <f>T97-E98+200000</f>
        <v>56084.5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>
        <v>1039</v>
      </c>
      <c r="C99" s="25" t="s">
        <v>1093</v>
      </c>
      <c r="D99" s="25" t="s">
        <v>28</v>
      </c>
      <c r="E99" s="53">
        <v>2540</v>
      </c>
      <c r="F99" s="50"/>
      <c r="G99" s="25"/>
      <c r="H99" s="25"/>
      <c r="I99" s="65"/>
      <c r="J99" s="66"/>
      <c r="K99" s="66"/>
      <c r="L99" s="66">
        <v>2540</v>
      </c>
      <c r="M99" s="66"/>
      <c r="N99" s="66"/>
      <c r="O99" s="66"/>
      <c r="P99" s="66"/>
      <c r="Q99" s="66"/>
      <c r="R99" s="25"/>
      <c r="S99" s="36"/>
      <c r="T99" s="53">
        <f t="shared" ref="T99:T129" si="10">T98-E99</f>
        <v>53544.5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1040</v>
      </c>
      <c r="C100" s="25" t="s">
        <v>1094</v>
      </c>
      <c r="D100" s="25" t="s">
        <v>1095</v>
      </c>
      <c r="E100" s="53">
        <v>3000</v>
      </c>
      <c r="F100" s="50"/>
      <c r="G100" s="25"/>
      <c r="H100" s="25"/>
      <c r="I100" s="65"/>
      <c r="J100" s="66"/>
      <c r="K100" s="66"/>
      <c r="L100" s="66"/>
      <c r="M100" s="66"/>
      <c r="N100" s="66"/>
      <c r="O100" s="66"/>
      <c r="P100" s="66">
        <v>3000</v>
      </c>
      <c r="Q100" s="66"/>
      <c r="R100" s="25"/>
      <c r="S100" s="36"/>
      <c r="T100" s="53">
        <f t="shared" si="10"/>
        <v>50544.5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>
        <v>1041</v>
      </c>
      <c r="C101" s="25" t="s">
        <v>170</v>
      </c>
      <c r="D101" s="25" t="s">
        <v>432</v>
      </c>
      <c r="E101" s="53">
        <v>2500</v>
      </c>
      <c r="F101" s="50"/>
      <c r="G101" s="35">
        <v>25</v>
      </c>
      <c r="H101" s="35">
        <v>100</v>
      </c>
      <c r="I101" s="53">
        <v>2500</v>
      </c>
      <c r="J101" s="66"/>
      <c r="K101" s="66"/>
      <c r="L101" s="66"/>
      <c r="M101" s="66"/>
      <c r="N101" s="66"/>
      <c r="O101" s="66"/>
      <c r="P101" s="66"/>
      <c r="Q101" s="66"/>
      <c r="R101" s="25"/>
      <c r="S101" s="36"/>
      <c r="T101" s="53">
        <f t="shared" si="10"/>
        <v>48044.5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1042</v>
      </c>
      <c r="C102" s="25" t="s">
        <v>170</v>
      </c>
      <c r="D102" s="25" t="s">
        <v>263</v>
      </c>
      <c r="E102" s="53">
        <v>900</v>
      </c>
      <c r="F102" s="50"/>
      <c r="G102" s="35">
        <v>9</v>
      </c>
      <c r="H102" s="35">
        <v>100</v>
      </c>
      <c r="I102" s="53">
        <v>900</v>
      </c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si="10"/>
        <v>47144.5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1043</v>
      </c>
      <c r="C103" s="25" t="s">
        <v>170</v>
      </c>
      <c r="D103" s="25" t="s">
        <v>1096</v>
      </c>
      <c r="E103" s="53">
        <v>1400</v>
      </c>
      <c r="F103" s="50"/>
      <c r="G103" s="35">
        <v>14</v>
      </c>
      <c r="H103" s="35">
        <v>100</v>
      </c>
      <c r="I103" s="53">
        <v>1400</v>
      </c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10"/>
        <v>45744.5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1044</v>
      </c>
      <c r="C104" s="25" t="s">
        <v>837</v>
      </c>
      <c r="D104" s="25" t="s">
        <v>52</v>
      </c>
      <c r="E104" s="53">
        <v>1680</v>
      </c>
      <c r="F104" s="50"/>
      <c r="G104" s="35">
        <v>21</v>
      </c>
      <c r="H104" s="89">
        <v>80</v>
      </c>
      <c r="I104" s="53">
        <v>1680</v>
      </c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10"/>
        <v>44064.5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>
        <v>1045</v>
      </c>
      <c r="C105" s="25" t="s">
        <v>170</v>
      </c>
      <c r="D105" s="25" t="s">
        <v>1097</v>
      </c>
      <c r="E105" s="53">
        <v>3500</v>
      </c>
      <c r="F105" s="50"/>
      <c r="G105" s="35">
        <v>35</v>
      </c>
      <c r="H105" s="25">
        <v>100</v>
      </c>
      <c r="I105" s="65">
        <v>3500</v>
      </c>
      <c r="J105" s="66"/>
      <c r="K105" s="66"/>
      <c r="L105" s="66"/>
      <c r="M105" s="67"/>
      <c r="N105" s="66"/>
      <c r="O105" s="66"/>
      <c r="P105" s="66"/>
      <c r="Q105" s="66"/>
      <c r="R105" s="25"/>
      <c r="S105" s="36"/>
      <c r="T105" s="53">
        <f t="shared" si="10"/>
        <v>40564.5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>
        <v>1046</v>
      </c>
      <c r="C106" s="25" t="s">
        <v>170</v>
      </c>
      <c r="D106" s="25" t="s">
        <v>200</v>
      </c>
      <c r="E106" s="53">
        <v>5300</v>
      </c>
      <c r="F106" s="50"/>
      <c r="G106" s="35">
        <v>53</v>
      </c>
      <c r="H106" s="25">
        <v>100</v>
      </c>
      <c r="I106" s="65">
        <v>5300</v>
      </c>
      <c r="J106" s="66"/>
      <c r="K106" s="66"/>
      <c r="L106" s="66"/>
      <c r="M106" s="66"/>
      <c r="N106" s="66"/>
      <c r="O106" s="66"/>
      <c r="P106" s="66"/>
      <c r="Q106" s="66"/>
      <c r="R106" s="25"/>
      <c r="S106" s="36"/>
      <c r="T106" s="53">
        <f t="shared" si="10"/>
        <v>35264.5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>
        <v>1047</v>
      </c>
      <c r="C107" s="25" t="s">
        <v>552</v>
      </c>
      <c r="D107" s="25" t="s">
        <v>553</v>
      </c>
      <c r="E107" s="53">
        <v>2000</v>
      </c>
      <c r="F107" s="50"/>
      <c r="G107" s="35">
        <v>1</v>
      </c>
      <c r="H107" s="89">
        <v>2000</v>
      </c>
      <c r="I107" s="53">
        <v>2000</v>
      </c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10"/>
        <v>33264.5</v>
      </c>
      <c r="U107" s="42"/>
      <c r="V107" s="42"/>
      <c r="W107" s="42"/>
      <c r="X107" s="42"/>
      <c r="Y107" s="42"/>
    </row>
    <row r="108" ht="15.75" customHeight="1" spans="1:25" x14ac:dyDescent="0.25">
      <c r="A108" s="25" t="s">
        <v>1098</v>
      </c>
      <c r="B108" s="35">
        <v>1048</v>
      </c>
      <c r="C108" s="25" t="s">
        <v>1099</v>
      </c>
      <c r="D108" s="25" t="s">
        <v>610</v>
      </c>
      <c r="E108" s="53">
        <v>1020</v>
      </c>
      <c r="F108" s="50"/>
      <c r="G108" s="35"/>
      <c r="H108" s="35"/>
      <c r="I108" s="53"/>
      <c r="J108" s="66"/>
      <c r="K108" s="66"/>
      <c r="L108" s="66"/>
      <c r="M108" s="66"/>
      <c r="N108" s="66"/>
      <c r="O108" s="66"/>
      <c r="P108" s="66">
        <v>1020</v>
      </c>
      <c r="Q108" s="66"/>
      <c r="R108" s="25"/>
      <c r="S108" s="36"/>
      <c r="T108" s="53">
        <f t="shared" si="10"/>
        <v>32244.5</v>
      </c>
      <c r="U108" s="42"/>
      <c r="V108" s="42"/>
      <c r="W108" s="42"/>
      <c r="X108" s="42"/>
      <c r="Y108" s="42"/>
    </row>
    <row r="109" ht="15.75" customHeight="1" spans="1:25" x14ac:dyDescent="0.25">
      <c r="A109" s="25"/>
      <c r="B109" s="35">
        <v>1049</v>
      </c>
      <c r="C109" s="25" t="s">
        <v>1100</v>
      </c>
      <c r="D109" s="25" t="s">
        <v>1101</v>
      </c>
      <c r="E109" s="53">
        <v>270</v>
      </c>
      <c r="F109" s="50"/>
      <c r="G109" s="25"/>
      <c r="H109" s="25"/>
      <c r="I109" s="65"/>
      <c r="J109" s="66"/>
      <c r="K109" s="66"/>
      <c r="L109" s="66"/>
      <c r="M109" s="66"/>
      <c r="N109" s="66"/>
      <c r="O109" s="66">
        <v>270</v>
      </c>
      <c r="P109" s="66"/>
      <c r="Q109" s="66"/>
      <c r="R109" s="25"/>
      <c r="S109" s="36"/>
      <c r="T109" s="53">
        <f t="shared" si="10"/>
        <v>31974.5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>
        <v>1050</v>
      </c>
      <c r="C110" s="25" t="s">
        <v>170</v>
      </c>
      <c r="D110" s="25" t="s">
        <v>1102</v>
      </c>
      <c r="E110" s="53">
        <v>12500</v>
      </c>
      <c r="F110" s="50"/>
      <c r="G110" s="35">
        <v>125</v>
      </c>
      <c r="H110" s="35">
        <v>100</v>
      </c>
      <c r="I110" s="53">
        <f t="shared" ref="I110:I113" si="11">H110*G110</f>
        <v>12500</v>
      </c>
      <c r="J110" s="66"/>
      <c r="K110" s="66"/>
      <c r="L110" s="66"/>
      <c r="M110" s="66"/>
      <c r="N110" s="66"/>
      <c r="O110" s="66"/>
      <c r="P110" s="66"/>
      <c r="Q110" s="66"/>
      <c r="R110" s="25"/>
      <c r="S110" s="36"/>
      <c r="T110" s="53">
        <f t="shared" si="10"/>
        <v>19474.5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>
        <v>1051</v>
      </c>
      <c r="C111" s="25" t="s">
        <v>170</v>
      </c>
      <c r="D111" s="25" t="s">
        <v>432</v>
      </c>
      <c r="E111" s="53">
        <v>1000</v>
      </c>
      <c r="F111" s="50"/>
      <c r="G111" s="35">
        <v>10</v>
      </c>
      <c r="H111" s="35">
        <v>100</v>
      </c>
      <c r="I111" s="53">
        <f t="shared" si="11"/>
        <v>1000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10"/>
        <v>18474.5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>
        <v>1052</v>
      </c>
      <c r="C112" s="25" t="s">
        <v>170</v>
      </c>
      <c r="D112" s="25" t="s">
        <v>754</v>
      </c>
      <c r="E112" s="53">
        <v>1200</v>
      </c>
      <c r="F112" s="50"/>
      <c r="G112" s="35">
        <v>12</v>
      </c>
      <c r="H112" s="35">
        <v>100</v>
      </c>
      <c r="I112" s="53">
        <f t="shared" si="11"/>
        <v>1200</v>
      </c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 t="shared" si="10"/>
        <v>17274.5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>
        <v>1053</v>
      </c>
      <c r="C113" s="25" t="s">
        <v>170</v>
      </c>
      <c r="D113" s="25" t="s">
        <v>618</v>
      </c>
      <c r="E113" s="53">
        <v>8400</v>
      </c>
      <c r="F113" s="50"/>
      <c r="G113" s="35">
        <v>84</v>
      </c>
      <c r="H113" s="35">
        <v>100</v>
      </c>
      <c r="I113" s="53">
        <f t="shared" si="11"/>
        <v>8400</v>
      </c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 t="shared" si="10"/>
        <v>8874.5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>
        <v>1054</v>
      </c>
      <c r="C114" s="25" t="s">
        <v>425</v>
      </c>
      <c r="D114" s="25" t="s">
        <v>618</v>
      </c>
      <c r="E114" s="53">
        <v>2520</v>
      </c>
      <c r="F114" s="50"/>
      <c r="G114" s="35">
        <v>21</v>
      </c>
      <c r="H114" s="35">
        <v>120</v>
      </c>
      <c r="I114" s="53">
        <v>2520</v>
      </c>
      <c r="J114" s="66"/>
      <c r="K114" s="66"/>
      <c r="L114" s="66"/>
      <c r="M114" s="67"/>
      <c r="N114" s="66"/>
      <c r="O114" s="66"/>
      <c r="P114" s="66"/>
      <c r="Q114" s="66"/>
      <c r="R114" s="25"/>
      <c r="S114" s="36"/>
      <c r="T114" s="53">
        <f t="shared" si="10"/>
        <v>6354.5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>
        <v>1055</v>
      </c>
      <c r="C115" s="25" t="s">
        <v>1103</v>
      </c>
      <c r="D115" s="25" t="s">
        <v>618</v>
      </c>
      <c r="E115" s="53">
        <v>3750</v>
      </c>
      <c r="F115" s="50"/>
      <c r="G115" s="35">
        <v>25</v>
      </c>
      <c r="H115" s="35">
        <v>150</v>
      </c>
      <c r="I115" s="53">
        <v>3750</v>
      </c>
      <c r="J115" s="66"/>
      <c r="K115" s="66"/>
      <c r="L115" s="66"/>
      <c r="M115" s="66"/>
      <c r="N115" s="66"/>
      <c r="O115" s="66"/>
      <c r="P115" s="67"/>
      <c r="Q115" s="66"/>
      <c r="R115" s="25"/>
      <c r="S115" s="36"/>
      <c r="T115" s="53">
        <f t="shared" si="10"/>
        <v>2604.5</v>
      </c>
      <c r="U115" s="42"/>
      <c r="V115" s="42"/>
      <c r="W115" s="42"/>
      <c r="X115" s="42"/>
      <c r="Y115" s="42"/>
    </row>
    <row r="116" ht="15.75" customHeight="1" spans="1:25" x14ac:dyDescent="0.25">
      <c r="A116" s="25" t="s">
        <v>1104</v>
      </c>
      <c r="B116" s="35">
        <v>1056</v>
      </c>
      <c r="C116" s="25" t="s">
        <v>945</v>
      </c>
      <c r="D116" s="25" t="s">
        <v>1029</v>
      </c>
      <c r="E116" s="53">
        <v>5500</v>
      </c>
      <c r="F116" s="50"/>
      <c r="G116" s="25"/>
      <c r="H116" s="25"/>
      <c r="I116" s="65"/>
      <c r="J116" s="66"/>
      <c r="K116" s="66">
        <v>5500</v>
      </c>
      <c r="L116" s="66"/>
      <c r="M116" s="66"/>
      <c r="N116" s="66"/>
      <c r="O116" s="66"/>
      <c r="P116" s="66"/>
      <c r="Q116" s="66"/>
      <c r="R116" s="25"/>
      <c r="S116" s="55"/>
      <c r="T116" s="53">
        <f t="shared" si="10"/>
        <v>-2895.5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>
        <v>1057</v>
      </c>
      <c r="C117" s="25" t="s">
        <v>1105</v>
      </c>
      <c r="D117" s="25" t="s">
        <v>1106</v>
      </c>
      <c r="E117" s="53">
        <v>500</v>
      </c>
      <c r="F117" s="50"/>
      <c r="G117" s="35"/>
      <c r="H117" s="35"/>
      <c r="I117" s="53"/>
      <c r="J117" s="66"/>
      <c r="K117" s="66">
        <v>500</v>
      </c>
      <c r="L117" s="67"/>
      <c r="M117" s="66"/>
      <c r="N117" s="66"/>
      <c r="O117" s="66"/>
      <c r="P117" s="66"/>
      <c r="Q117" s="66"/>
      <c r="R117" s="25"/>
      <c r="S117" s="55"/>
      <c r="T117" s="53">
        <f t="shared" si="10"/>
        <v>-3395.5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>
        <v>1058</v>
      </c>
      <c r="C118" s="25" t="s">
        <v>1107</v>
      </c>
      <c r="D118" s="25" t="s">
        <v>1108</v>
      </c>
      <c r="E118" s="53">
        <v>1500</v>
      </c>
      <c r="F118" s="50"/>
      <c r="G118" s="35"/>
      <c r="H118" s="35"/>
      <c r="I118" s="53"/>
      <c r="J118" s="66"/>
      <c r="K118" s="66">
        <v>1500</v>
      </c>
      <c r="L118" s="66"/>
      <c r="M118" s="67"/>
      <c r="N118" s="66"/>
      <c r="O118" s="66"/>
      <c r="P118" s="66"/>
      <c r="Q118" s="66"/>
      <c r="R118" s="25"/>
      <c r="S118" s="55"/>
      <c r="T118" s="53">
        <f t="shared" si="10"/>
        <v>-4895.5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>
        <v>1059</v>
      </c>
      <c r="C119" s="25" t="s">
        <v>170</v>
      </c>
      <c r="D119" s="25" t="s">
        <v>162</v>
      </c>
      <c r="E119" s="53">
        <v>2000</v>
      </c>
      <c r="F119" s="50"/>
      <c r="G119" s="35">
        <v>20</v>
      </c>
      <c r="H119" s="25">
        <v>10</v>
      </c>
      <c r="I119" s="65">
        <v>2000</v>
      </c>
      <c r="J119" s="66"/>
      <c r="K119" s="66"/>
      <c r="L119" s="66"/>
      <c r="M119" s="66"/>
      <c r="N119" s="66"/>
      <c r="O119" s="66"/>
      <c r="P119" s="67"/>
      <c r="Q119" s="66"/>
      <c r="R119" s="25"/>
      <c r="S119" s="55"/>
      <c r="T119" s="53">
        <f t="shared" si="10"/>
        <v>-6895.5</v>
      </c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>
        <v>1060</v>
      </c>
      <c r="C120" s="25" t="s">
        <v>1109</v>
      </c>
      <c r="D120" s="25" t="s">
        <v>295</v>
      </c>
      <c r="E120" s="53">
        <v>4100</v>
      </c>
      <c r="F120" s="50"/>
      <c r="G120" s="25"/>
      <c r="H120" s="25"/>
      <c r="I120" s="65"/>
      <c r="J120" s="66"/>
      <c r="K120" s="66"/>
      <c r="L120" s="66"/>
      <c r="M120" s="66"/>
      <c r="N120" s="66"/>
      <c r="O120" s="66"/>
      <c r="P120" s="67"/>
      <c r="Q120" s="66"/>
      <c r="R120" s="25">
        <v>4100</v>
      </c>
      <c r="S120" s="55"/>
      <c r="T120" s="53">
        <f t="shared" si="10"/>
        <v>-10995.5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>
        <v>1061</v>
      </c>
      <c r="C121" s="25" t="s">
        <v>170</v>
      </c>
      <c r="D121" s="25" t="s">
        <v>618</v>
      </c>
      <c r="E121" s="53">
        <v>20600</v>
      </c>
      <c r="F121" s="50"/>
      <c r="G121" s="35">
        <v>206</v>
      </c>
      <c r="H121" s="25">
        <v>100</v>
      </c>
      <c r="I121" s="65">
        <v>20600</v>
      </c>
      <c r="J121" s="66"/>
      <c r="K121" s="66"/>
      <c r="L121" s="66"/>
      <c r="M121" s="66"/>
      <c r="N121" s="66"/>
      <c r="O121" s="66"/>
      <c r="P121" s="66"/>
      <c r="Q121" s="67"/>
      <c r="R121" s="25"/>
      <c r="S121" s="55"/>
      <c r="T121" s="53">
        <f t="shared" si="10"/>
        <v>-31595.5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>
        <v>1062</v>
      </c>
      <c r="C122" s="25" t="s">
        <v>1110</v>
      </c>
      <c r="D122" s="25" t="s">
        <v>1111</v>
      </c>
      <c r="E122" s="53">
        <v>1440</v>
      </c>
      <c r="F122" s="50"/>
      <c r="G122" s="35">
        <v>24</v>
      </c>
      <c r="H122" s="35">
        <v>60</v>
      </c>
      <c r="I122" s="53">
        <v>1440</v>
      </c>
      <c r="J122" s="66"/>
      <c r="K122" s="66"/>
      <c r="L122" s="66"/>
      <c r="M122" s="66"/>
      <c r="N122" s="66"/>
      <c r="O122" s="66"/>
      <c r="P122" s="67"/>
      <c r="Q122" s="66"/>
      <c r="R122" s="25"/>
      <c r="S122" s="55"/>
      <c r="T122" s="53">
        <f t="shared" si="10"/>
        <v>-33035.5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>
        <v>1063</v>
      </c>
      <c r="C123" s="25" t="s">
        <v>13</v>
      </c>
      <c r="D123" s="25" t="s">
        <v>1112</v>
      </c>
      <c r="E123" s="53">
        <v>2000</v>
      </c>
      <c r="F123" s="50"/>
      <c r="G123" s="35"/>
      <c r="H123" s="35"/>
      <c r="I123" s="53"/>
      <c r="J123" s="66"/>
      <c r="K123" s="66"/>
      <c r="L123" s="66"/>
      <c r="M123" s="66"/>
      <c r="N123" s="66"/>
      <c r="O123" s="66"/>
      <c r="P123" s="66"/>
      <c r="Q123" s="66">
        <v>2000</v>
      </c>
      <c r="R123" s="25"/>
      <c r="S123" s="36"/>
      <c r="T123" s="53">
        <f t="shared" si="10"/>
        <v>-35035.5</v>
      </c>
      <c r="U123" s="42"/>
      <c r="V123" s="42"/>
      <c r="W123" s="42"/>
      <c r="X123" s="42"/>
      <c r="Y123" s="42"/>
    </row>
    <row r="124" ht="15.75" customHeight="1" spans="1:25" x14ac:dyDescent="0.25">
      <c r="A124" s="25" t="s">
        <v>1113</v>
      </c>
      <c r="B124" s="35">
        <v>1064</v>
      </c>
      <c r="C124" s="25" t="s">
        <v>1114</v>
      </c>
      <c r="D124" s="25" t="s">
        <v>411</v>
      </c>
      <c r="E124" s="53">
        <v>918</v>
      </c>
      <c r="F124" s="50"/>
      <c r="G124" s="25"/>
      <c r="H124" s="25"/>
      <c r="I124" s="65"/>
      <c r="J124" s="66"/>
      <c r="K124" s="66"/>
      <c r="L124" s="66"/>
      <c r="M124" s="66"/>
      <c r="N124" s="66"/>
      <c r="O124" s="66"/>
      <c r="P124" s="66">
        <v>918</v>
      </c>
      <c r="Q124" s="66"/>
      <c r="R124" s="25"/>
      <c r="S124" s="36"/>
      <c r="T124" s="53">
        <f t="shared" si="10"/>
        <v>-35953.5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1065</v>
      </c>
      <c r="C125" s="25" t="s">
        <v>170</v>
      </c>
      <c r="D125" s="25" t="s">
        <v>754</v>
      </c>
      <c r="E125" s="53">
        <v>1400</v>
      </c>
      <c r="F125" s="50"/>
      <c r="G125" s="35">
        <v>14</v>
      </c>
      <c r="H125" s="25">
        <v>100</v>
      </c>
      <c r="I125" s="65">
        <v>1400</v>
      </c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10"/>
        <v>-37353.5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1066</v>
      </c>
      <c r="C126" s="25" t="s">
        <v>170</v>
      </c>
      <c r="D126" s="25" t="s">
        <v>618</v>
      </c>
      <c r="E126" s="53">
        <v>22900</v>
      </c>
      <c r="F126" s="50"/>
      <c r="G126" s="35">
        <v>229</v>
      </c>
      <c r="H126" s="25">
        <v>100</v>
      </c>
      <c r="I126" s="65">
        <v>22900</v>
      </c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10"/>
        <v>-60253.5</v>
      </c>
      <c r="U126" s="42"/>
      <c r="V126" s="42"/>
      <c r="W126" s="42"/>
      <c r="X126" s="42"/>
      <c r="Y126" s="42"/>
    </row>
    <row r="127" ht="15.75" customHeight="1" spans="1:25" x14ac:dyDescent="0.25">
      <c r="A127" s="25" t="s">
        <v>1115</v>
      </c>
      <c r="B127" s="35">
        <v>1067</v>
      </c>
      <c r="C127" s="25" t="s">
        <v>1116</v>
      </c>
      <c r="D127" s="25" t="s">
        <v>1029</v>
      </c>
      <c r="E127" s="53">
        <v>500</v>
      </c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/>
      <c r="Q127" s="66"/>
      <c r="R127" s="25"/>
      <c r="S127" s="36"/>
      <c r="T127" s="53">
        <f t="shared" si="10"/>
        <v>-60753.5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>
        <v>1068</v>
      </c>
      <c r="C128" s="25" t="s">
        <v>1026</v>
      </c>
      <c r="D128" s="25" t="s">
        <v>1069</v>
      </c>
      <c r="E128" s="53">
        <v>1000</v>
      </c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/>
      <c r="Q128" s="66"/>
      <c r="R128" s="25"/>
      <c r="S128" s="36"/>
      <c r="T128" s="53">
        <f t="shared" si="10"/>
        <v>-61753.5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>
        <v>1069</v>
      </c>
      <c r="C129" s="25" t="s">
        <v>1117</v>
      </c>
      <c r="D129" s="25" t="s">
        <v>1042</v>
      </c>
      <c r="E129" s="53">
        <v>1830</v>
      </c>
      <c r="F129" s="50"/>
      <c r="G129" s="25"/>
      <c r="H129" s="35"/>
      <c r="I129" s="53"/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10"/>
        <v>-63583.5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/>
      <c r="C130" s="25" t="s">
        <v>1118</v>
      </c>
      <c r="D130" s="25"/>
      <c r="E130" s="53"/>
      <c r="F130" s="68">
        <v>100000</v>
      </c>
      <c r="G130" s="25"/>
      <c r="H130" s="35"/>
      <c r="I130" s="53"/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>T129-E130+100000</f>
        <v>36416.5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>
        <v>1070</v>
      </c>
      <c r="C131" s="25" t="s">
        <v>170</v>
      </c>
      <c r="D131" s="25" t="s">
        <v>695</v>
      </c>
      <c r="E131" s="53">
        <v>18800</v>
      </c>
      <c r="F131" s="50"/>
      <c r="G131" s="35">
        <v>188</v>
      </c>
      <c r="H131" s="35">
        <v>100</v>
      </c>
      <c r="I131" s="53">
        <v>18800</v>
      </c>
      <c r="J131" s="66"/>
      <c r="K131" s="66"/>
      <c r="L131" s="66"/>
      <c r="M131" s="66"/>
      <c r="N131" s="66"/>
      <c r="O131" s="66"/>
      <c r="P131" s="67"/>
      <c r="Q131" s="66"/>
      <c r="R131" s="25"/>
      <c r="S131" s="36"/>
      <c r="T131" s="53">
        <f t="shared" ref="T131:T147" si="12">T130-E131</f>
        <v>17616.5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>
        <v>1071</v>
      </c>
      <c r="C132" s="25" t="s">
        <v>170</v>
      </c>
      <c r="D132" s="25" t="s">
        <v>420</v>
      </c>
      <c r="E132" s="53">
        <v>1900</v>
      </c>
      <c r="F132" s="50"/>
      <c r="G132" s="35">
        <v>19</v>
      </c>
      <c r="H132" s="35">
        <v>100</v>
      </c>
      <c r="I132" s="53">
        <v>1900</v>
      </c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12"/>
        <v>15716.5</v>
      </c>
      <c r="U132" s="42"/>
      <c r="V132" s="42"/>
      <c r="W132" s="42"/>
      <c r="X132" s="42"/>
      <c r="Y132" s="42"/>
    </row>
    <row r="133" ht="15.75" customHeight="1" spans="1:25" x14ac:dyDescent="0.25">
      <c r="A133" s="25" t="s">
        <v>1119</v>
      </c>
      <c r="B133" s="35">
        <v>1072</v>
      </c>
      <c r="C133" s="25" t="s">
        <v>1120</v>
      </c>
      <c r="D133" s="25" t="s">
        <v>649</v>
      </c>
      <c r="E133" s="53">
        <v>808</v>
      </c>
      <c r="F133" s="50"/>
      <c r="G133" s="35"/>
      <c r="H133" s="25"/>
      <c r="I133" s="65">
        <v>808</v>
      </c>
      <c r="J133" s="66"/>
      <c r="K133" s="66"/>
      <c r="L133" s="66"/>
      <c r="M133" s="67"/>
      <c r="N133" s="66"/>
      <c r="O133" s="66"/>
      <c r="P133" s="66"/>
      <c r="Q133" s="66"/>
      <c r="R133" s="25"/>
      <c r="S133" s="36"/>
      <c r="T133" s="53">
        <f t="shared" si="12"/>
        <v>14908.5</v>
      </c>
      <c r="U133" s="42"/>
      <c r="V133" s="42"/>
      <c r="W133" s="42"/>
      <c r="X133" s="42"/>
      <c r="Y133" s="42"/>
    </row>
    <row r="134" ht="15.75" customHeight="1" spans="1:25" x14ac:dyDescent="0.25">
      <c r="A134" s="25"/>
      <c r="B134" s="35">
        <v>1073</v>
      </c>
      <c r="C134" s="25" t="s">
        <v>170</v>
      </c>
      <c r="D134" s="25" t="s">
        <v>420</v>
      </c>
      <c r="E134" s="53">
        <v>5400</v>
      </c>
      <c r="F134" s="50"/>
      <c r="G134" s="35">
        <v>54</v>
      </c>
      <c r="H134" s="25">
        <v>100</v>
      </c>
      <c r="I134" s="65">
        <v>5400</v>
      </c>
      <c r="J134" s="66"/>
      <c r="K134" s="67"/>
      <c r="L134" s="66"/>
      <c r="M134" s="66"/>
      <c r="N134" s="66"/>
      <c r="O134" s="66"/>
      <c r="P134" s="66"/>
      <c r="Q134" s="66"/>
      <c r="R134" s="25"/>
      <c r="S134" s="36"/>
      <c r="T134" s="53">
        <f t="shared" si="12"/>
        <v>9508.5</v>
      </c>
      <c r="U134" s="42"/>
      <c r="V134" s="42"/>
      <c r="W134" s="42"/>
      <c r="X134" s="42"/>
      <c r="Y134" s="42"/>
    </row>
    <row r="135" ht="15.75" customHeight="1" spans="1:25" x14ac:dyDescent="0.25">
      <c r="A135" s="25"/>
      <c r="B135" s="35">
        <v>1074</v>
      </c>
      <c r="C135" s="25" t="s">
        <v>170</v>
      </c>
      <c r="D135" s="25" t="s">
        <v>69</v>
      </c>
      <c r="E135" s="53">
        <v>6200</v>
      </c>
      <c r="F135" s="50"/>
      <c r="G135" s="35">
        <v>62</v>
      </c>
      <c r="H135" s="25">
        <v>100</v>
      </c>
      <c r="I135" s="65">
        <v>6200</v>
      </c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si="12"/>
        <v>3308.5</v>
      </c>
      <c r="U135" s="42"/>
      <c r="V135" s="42"/>
      <c r="W135" s="42"/>
      <c r="X135" s="42"/>
      <c r="Y135" s="42"/>
    </row>
    <row r="136" ht="15.75" customHeight="1" spans="1:25" x14ac:dyDescent="0.25">
      <c r="A136" s="25"/>
      <c r="B136" s="35">
        <v>1075</v>
      </c>
      <c r="C136" s="25" t="s">
        <v>13</v>
      </c>
      <c r="D136" s="25" t="s">
        <v>104</v>
      </c>
      <c r="E136" s="53">
        <v>6000</v>
      </c>
      <c r="F136" s="50"/>
      <c r="G136" s="25"/>
      <c r="H136" s="25"/>
      <c r="I136" s="65"/>
      <c r="J136" s="66"/>
      <c r="K136" s="66"/>
      <c r="L136" s="66"/>
      <c r="M136" s="66"/>
      <c r="N136" s="66"/>
      <c r="O136" s="66"/>
      <c r="P136" s="66"/>
      <c r="Q136" s="66">
        <v>6000</v>
      </c>
      <c r="R136" s="35"/>
      <c r="S136" s="36"/>
      <c r="T136" s="53">
        <f t="shared" si="12"/>
        <v>-2691.5</v>
      </c>
      <c r="U136" s="42"/>
      <c r="V136" s="42"/>
      <c r="W136" s="42"/>
      <c r="X136" s="42"/>
      <c r="Y136" s="42"/>
    </row>
    <row r="137" ht="15.75" customHeight="1" spans="1:25" x14ac:dyDescent="0.25">
      <c r="A137" s="25"/>
      <c r="B137" s="35">
        <v>1076</v>
      </c>
      <c r="C137" s="25" t="s">
        <v>300</v>
      </c>
      <c r="D137" s="25" t="s">
        <v>1074</v>
      </c>
      <c r="E137" s="53">
        <v>2000</v>
      </c>
      <c r="F137" s="50"/>
      <c r="G137" s="25"/>
      <c r="H137" s="25"/>
      <c r="I137" s="65"/>
      <c r="J137" s="66"/>
      <c r="K137" s="66">
        <v>2000</v>
      </c>
      <c r="L137" s="66"/>
      <c r="M137" s="66"/>
      <c r="N137" s="66"/>
      <c r="O137" s="66"/>
      <c r="P137" s="66"/>
      <c r="Q137" s="66"/>
      <c r="R137" s="25"/>
      <c r="S137" s="36"/>
      <c r="T137" s="53">
        <f t="shared" si="12"/>
        <v>-4691.5</v>
      </c>
      <c r="U137" s="42"/>
      <c r="V137" s="42"/>
      <c r="W137" s="42"/>
      <c r="X137" s="42"/>
      <c r="Y137" s="42"/>
    </row>
    <row r="138" ht="15.75" customHeight="1" spans="1:25" x14ac:dyDescent="0.25">
      <c r="A138" s="25"/>
      <c r="B138" s="35">
        <v>1077</v>
      </c>
      <c r="C138" s="25" t="s">
        <v>384</v>
      </c>
      <c r="D138" s="25" t="s">
        <v>953</v>
      </c>
      <c r="E138" s="53">
        <v>400</v>
      </c>
      <c r="F138" s="50"/>
      <c r="G138" s="35"/>
      <c r="H138" s="25"/>
      <c r="I138" s="65"/>
      <c r="J138" s="66"/>
      <c r="K138" s="66"/>
      <c r="L138" s="66"/>
      <c r="M138" s="66"/>
      <c r="N138" s="66"/>
      <c r="O138" s="66"/>
      <c r="P138" s="66">
        <v>400</v>
      </c>
      <c r="Q138" s="66"/>
      <c r="R138" s="25"/>
      <c r="S138" s="36"/>
      <c r="T138" s="53">
        <f t="shared" si="12"/>
        <v>-5091.5</v>
      </c>
      <c r="U138" s="42"/>
      <c r="V138" s="42"/>
      <c r="W138" s="42"/>
      <c r="X138" s="42"/>
      <c r="Y138" s="42"/>
    </row>
    <row r="139" ht="15.75" customHeight="1" spans="1:25" x14ac:dyDescent="0.25">
      <c r="A139" s="25"/>
      <c r="B139" s="35">
        <v>1078</v>
      </c>
      <c r="C139" s="25" t="s">
        <v>170</v>
      </c>
      <c r="D139" s="25" t="s">
        <v>754</v>
      </c>
      <c r="E139" s="53">
        <v>2900</v>
      </c>
      <c r="F139" s="50"/>
      <c r="G139" s="35">
        <v>29</v>
      </c>
      <c r="H139" s="25">
        <v>100</v>
      </c>
      <c r="I139" s="65">
        <v>2900</v>
      </c>
      <c r="J139" s="66"/>
      <c r="K139" s="66"/>
      <c r="L139" s="66"/>
      <c r="M139" s="66"/>
      <c r="N139" s="66"/>
      <c r="O139" s="66"/>
      <c r="P139" s="67"/>
      <c r="Q139" s="66"/>
      <c r="R139" s="25"/>
      <c r="S139" s="36"/>
      <c r="T139" s="53">
        <f t="shared" si="12"/>
        <v>-7991.5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>
        <v>1079</v>
      </c>
      <c r="C140" s="25" t="s">
        <v>170</v>
      </c>
      <c r="D140" s="25" t="s">
        <v>1121</v>
      </c>
      <c r="E140" s="53">
        <v>2000</v>
      </c>
      <c r="F140" s="50"/>
      <c r="G140" s="35">
        <v>20</v>
      </c>
      <c r="H140" s="35">
        <v>100</v>
      </c>
      <c r="I140" s="53">
        <v>2000</v>
      </c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12"/>
        <v>-9991.5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>
        <v>1080</v>
      </c>
      <c r="C141" s="25" t="s">
        <v>170</v>
      </c>
      <c r="D141" s="25" t="s">
        <v>420</v>
      </c>
      <c r="E141" s="53">
        <v>700</v>
      </c>
      <c r="F141" s="50"/>
      <c r="G141" s="35">
        <v>7</v>
      </c>
      <c r="H141" s="25">
        <v>100</v>
      </c>
      <c r="I141" s="65">
        <v>700</v>
      </c>
      <c r="J141" s="66"/>
      <c r="K141" s="66"/>
      <c r="L141" s="66"/>
      <c r="M141" s="67"/>
      <c r="N141" s="66"/>
      <c r="O141" s="66"/>
      <c r="P141" s="66"/>
      <c r="Q141" s="66"/>
      <c r="R141" s="25"/>
      <c r="S141" s="36"/>
      <c r="T141" s="53">
        <f t="shared" si="12"/>
        <v>-10691.5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>
        <v>1081</v>
      </c>
      <c r="C142" s="25" t="s">
        <v>1122</v>
      </c>
      <c r="D142" s="25" t="s">
        <v>28</v>
      </c>
      <c r="E142" s="53">
        <v>2320</v>
      </c>
      <c r="F142" s="50"/>
      <c r="G142" s="25"/>
      <c r="H142" s="25"/>
      <c r="I142" s="65"/>
      <c r="J142" s="66"/>
      <c r="K142" s="66"/>
      <c r="L142" s="66">
        <v>2320</v>
      </c>
      <c r="M142" s="66"/>
      <c r="N142" s="66"/>
      <c r="O142" s="66"/>
      <c r="P142" s="66"/>
      <c r="Q142" s="66"/>
      <c r="R142" s="25"/>
      <c r="S142" s="36"/>
      <c r="T142" s="53">
        <f t="shared" si="12"/>
        <v>-13011.5</v>
      </c>
      <c r="U142" s="42"/>
      <c r="V142" s="42"/>
      <c r="W142" s="42"/>
      <c r="X142" s="42"/>
      <c r="Y142" s="42"/>
    </row>
    <row r="143" ht="15.75" customHeight="1" spans="1:25" x14ac:dyDescent="0.25">
      <c r="A143" s="25" t="s">
        <v>1123</v>
      </c>
      <c r="B143" s="35">
        <v>1082</v>
      </c>
      <c r="C143" s="25" t="s">
        <v>1124</v>
      </c>
      <c r="D143" s="25" t="s">
        <v>1125</v>
      </c>
      <c r="E143" s="53">
        <v>30000</v>
      </c>
      <c r="F143" s="50"/>
      <c r="G143" s="25"/>
      <c r="H143" s="25"/>
      <c r="I143" s="65"/>
      <c r="J143" s="66"/>
      <c r="K143" s="66">
        <v>30000</v>
      </c>
      <c r="L143" s="66"/>
      <c r="M143" s="66"/>
      <c r="N143" s="66"/>
      <c r="O143" s="66"/>
      <c r="P143" s="66"/>
      <c r="Q143" s="67"/>
      <c r="R143" s="25"/>
      <c r="S143" s="36"/>
      <c r="T143" s="53">
        <f t="shared" si="12"/>
        <v>-43011.5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>
        <v>1083</v>
      </c>
      <c r="C144" s="25" t="s">
        <v>1022</v>
      </c>
      <c r="D144" s="25" t="s">
        <v>1126</v>
      </c>
      <c r="E144" s="53">
        <v>880</v>
      </c>
      <c r="F144" s="50"/>
      <c r="G144" s="25"/>
      <c r="H144" s="35"/>
      <c r="I144" s="53"/>
      <c r="J144" s="66"/>
      <c r="K144" s="66"/>
      <c r="L144" s="66"/>
      <c r="M144" s="66"/>
      <c r="N144" s="66"/>
      <c r="O144" s="66"/>
      <c r="P144" s="66">
        <v>880</v>
      </c>
      <c r="Q144" s="66"/>
      <c r="R144" s="25"/>
      <c r="S144" s="36"/>
      <c r="T144" s="53">
        <f t="shared" si="12"/>
        <v>-43891.5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>
        <v>1084</v>
      </c>
      <c r="C145" s="25" t="s">
        <v>400</v>
      </c>
      <c r="D145" s="25" t="s">
        <v>1127</v>
      </c>
      <c r="E145" s="53">
        <v>400</v>
      </c>
      <c r="F145" s="50"/>
      <c r="G145" s="25"/>
      <c r="H145" s="35"/>
      <c r="I145" s="53"/>
      <c r="J145" s="66"/>
      <c r="K145" s="66"/>
      <c r="L145" s="66"/>
      <c r="M145" s="66"/>
      <c r="N145" s="66"/>
      <c r="O145" s="66"/>
      <c r="P145" s="66">
        <v>400</v>
      </c>
      <c r="Q145" s="66"/>
      <c r="R145" s="25"/>
      <c r="S145" s="36"/>
      <c r="T145" s="53">
        <f t="shared" si="12"/>
        <v>-44291.5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>
        <v>1085</v>
      </c>
      <c r="C146" s="25" t="s">
        <v>170</v>
      </c>
      <c r="D146" s="25" t="s">
        <v>1121</v>
      </c>
      <c r="E146" s="53">
        <v>1000</v>
      </c>
      <c r="F146" s="50"/>
      <c r="G146" s="35">
        <v>10</v>
      </c>
      <c r="H146" s="35">
        <v>100</v>
      </c>
      <c r="I146" s="53">
        <v>100</v>
      </c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12"/>
        <v>-45291.5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>
        <v>1086</v>
      </c>
      <c r="C147" s="25" t="s">
        <v>170</v>
      </c>
      <c r="D147" s="25" t="s">
        <v>618</v>
      </c>
      <c r="E147" s="53">
        <v>4500</v>
      </c>
      <c r="F147" s="50"/>
      <c r="G147" s="35">
        <v>45</v>
      </c>
      <c r="H147" s="25">
        <v>100</v>
      </c>
      <c r="I147" s="65">
        <v>4500</v>
      </c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12"/>
        <v>-49791.5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 t="s">
        <v>1128</v>
      </c>
      <c r="D148" s="25"/>
      <c r="E148" s="53"/>
      <c r="F148" s="68">
        <v>261700</v>
      </c>
      <c r="G148" s="2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>
        <f>T147-E148+261700</f>
        <v>211908.5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>
        <v>1087</v>
      </c>
      <c r="C149" s="25" t="s">
        <v>1129</v>
      </c>
      <c r="D149" s="25" t="s">
        <v>572</v>
      </c>
      <c r="E149" s="53">
        <v>22850</v>
      </c>
      <c r="F149" s="50"/>
      <c r="G149" s="25"/>
      <c r="H149" s="35"/>
      <c r="I149" s="53"/>
      <c r="J149" s="66"/>
      <c r="K149" s="66"/>
      <c r="L149" s="66"/>
      <c r="M149" s="66"/>
      <c r="N149" s="66">
        <v>22850</v>
      </c>
      <c r="O149" s="66"/>
      <c r="P149" s="66"/>
      <c r="Q149" s="66"/>
      <c r="R149" s="25"/>
      <c r="S149" s="36"/>
      <c r="T149" s="53">
        <f t="shared" ref="T149:T202" si="13">T148-E149</f>
        <v>189058.5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>
        <v>1088</v>
      </c>
      <c r="C150" s="25" t="s">
        <v>1130</v>
      </c>
      <c r="D150" s="25" t="s">
        <v>1131</v>
      </c>
      <c r="E150" s="53">
        <v>6720</v>
      </c>
      <c r="F150" s="50"/>
      <c r="G150" s="35"/>
      <c r="H150" s="25"/>
      <c r="I150" s="65"/>
      <c r="J150" s="66"/>
      <c r="K150" s="66"/>
      <c r="L150" s="66"/>
      <c r="M150" s="66"/>
      <c r="N150" s="66">
        <v>6720</v>
      </c>
      <c r="O150" s="66"/>
      <c r="P150" s="66"/>
      <c r="Q150" s="66"/>
      <c r="R150" s="25"/>
      <c r="S150" s="36"/>
      <c r="T150" s="53">
        <f t="shared" si="13"/>
        <v>182338.5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>
        <v>1089</v>
      </c>
      <c r="C151" s="25" t="s">
        <v>856</v>
      </c>
      <c r="D151" s="25" t="s">
        <v>186</v>
      </c>
      <c r="E151" s="53">
        <v>1000</v>
      </c>
      <c r="F151" s="50"/>
      <c r="G151" s="25"/>
      <c r="H151" s="25"/>
      <c r="I151" s="65"/>
      <c r="J151" s="66"/>
      <c r="K151" s="66">
        <v>1000</v>
      </c>
      <c r="L151" s="66"/>
      <c r="M151" s="66"/>
      <c r="N151" s="66"/>
      <c r="O151" s="66"/>
      <c r="P151" s="66"/>
      <c r="Q151" s="66"/>
      <c r="R151" s="25"/>
      <c r="S151" s="36"/>
      <c r="T151" s="53">
        <f t="shared" si="13"/>
        <v>181338.5</v>
      </c>
      <c r="U151" s="42"/>
      <c r="V151" s="42"/>
      <c r="W151" s="42"/>
      <c r="X151" s="42"/>
      <c r="Y151" s="42"/>
    </row>
    <row r="152" ht="15.75" customHeight="1" spans="1:25" x14ac:dyDescent="0.25">
      <c r="A152" s="25" t="s">
        <v>1132</v>
      </c>
      <c r="B152" s="35">
        <v>1090</v>
      </c>
      <c r="C152" s="25" t="s">
        <v>170</v>
      </c>
      <c r="D152" s="25" t="s">
        <v>618</v>
      </c>
      <c r="E152" s="53">
        <v>8600</v>
      </c>
      <c r="F152" s="50"/>
      <c r="G152" s="35">
        <v>86</v>
      </c>
      <c r="H152" s="25">
        <v>100</v>
      </c>
      <c r="I152" s="65">
        <v>8600</v>
      </c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13"/>
        <v>172738.5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 t="s">
        <v>170</v>
      </c>
      <c r="D153" s="25" t="s">
        <v>1075</v>
      </c>
      <c r="E153" s="53">
        <v>1100</v>
      </c>
      <c r="F153" s="50"/>
      <c r="G153" s="35">
        <v>11</v>
      </c>
      <c r="H153" s="25">
        <v>100</v>
      </c>
      <c r="I153" s="65">
        <v>1100</v>
      </c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13"/>
        <v>171638.5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 t="s">
        <v>170</v>
      </c>
      <c r="D154" s="25" t="s">
        <v>1097</v>
      </c>
      <c r="E154" s="53">
        <v>1600</v>
      </c>
      <c r="F154" s="50"/>
      <c r="G154" s="35">
        <v>16</v>
      </c>
      <c r="H154" s="25">
        <v>100</v>
      </c>
      <c r="I154" s="65">
        <v>1600</v>
      </c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13"/>
        <v>170038.5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35"/>
      <c r="I155" s="53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13"/>
        <v>170038.5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35"/>
      <c r="I156" s="53"/>
      <c r="J156" s="66"/>
      <c r="K156" s="66"/>
      <c r="L156" s="66"/>
      <c r="M156" s="66"/>
      <c r="N156" s="66"/>
      <c r="O156" s="66"/>
      <c r="P156" s="66"/>
      <c r="Q156" s="66"/>
      <c r="R156" s="25"/>
      <c r="S156" s="36"/>
      <c r="T156" s="53">
        <f t="shared" si="13"/>
        <v>170038.5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35"/>
      <c r="H157" s="35"/>
      <c r="I157" s="53"/>
      <c r="J157" s="66"/>
      <c r="K157" s="66"/>
      <c r="L157" s="66"/>
      <c r="M157" s="66"/>
      <c r="N157" s="66"/>
      <c r="O157" s="66"/>
      <c r="P157" s="66"/>
      <c r="Q157" s="66"/>
      <c r="R157" s="25"/>
      <c r="S157" s="37"/>
      <c r="T157" s="53">
        <f t="shared" si="13"/>
        <v>170038.5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25"/>
      <c r="H158" s="35"/>
      <c r="I158" s="53"/>
      <c r="J158" s="66"/>
      <c r="K158" s="66"/>
      <c r="L158" s="66"/>
      <c r="M158" s="67"/>
      <c r="N158" s="66"/>
      <c r="O158" s="66"/>
      <c r="P158" s="66"/>
      <c r="Q158" s="66"/>
      <c r="R158" s="25"/>
      <c r="S158" s="37"/>
      <c r="T158" s="53">
        <f t="shared" si="13"/>
        <v>170038.5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25"/>
      <c r="H159" s="25"/>
      <c r="I159" s="53"/>
      <c r="J159" s="66"/>
      <c r="K159" s="66"/>
      <c r="L159" s="66"/>
      <c r="M159" s="66"/>
      <c r="N159" s="66"/>
      <c r="O159" s="66"/>
      <c r="P159" s="67"/>
      <c r="Q159" s="66"/>
      <c r="R159" s="25"/>
      <c r="S159" s="37"/>
      <c r="T159" s="53">
        <f t="shared" si="13"/>
        <v>170038.5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5"/>
      <c r="I160" s="53"/>
      <c r="J160" s="66"/>
      <c r="K160" s="66"/>
      <c r="L160" s="66"/>
      <c r="M160" s="66"/>
      <c r="N160" s="66"/>
      <c r="O160" s="66"/>
      <c r="P160" s="66"/>
      <c r="Q160" s="66"/>
      <c r="R160" s="25"/>
      <c r="S160" s="37"/>
      <c r="T160" s="53">
        <f t="shared" si="13"/>
        <v>170038.5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5"/>
      <c r="D161" s="25"/>
      <c r="E161" s="53"/>
      <c r="F161" s="50"/>
      <c r="G161" s="35"/>
      <c r="H161" s="25"/>
      <c r="I161" s="53"/>
      <c r="J161" s="66"/>
      <c r="K161" s="66"/>
      <c r="L161" s="66"/>
      <c r="M161" s="66"/>
      <c r="N161" s="66"/>
      <c r="O161" s="66"/>
      <c r="P161" s="66"/>
      <c r="Q161" s="66"/>
      <c r="R161" s="25"/>
      <c r="S161" s="37"/>
      <c r="T161" s="53">
        <f t="shared" si="13"/>
        <v>170038.5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5"/>
      <c r="D162" s="25"/>
      <c r="E162" s="53"/>
      <c r="F162" s="50"/>
      <c r="G162" s="35"/>
      <c r="H162" s="35"/>
      <c r="I162" s="53"/>
      <c r="J162" s="66"/>
      <c r="K162" s="66"/>
      <c r="L162" s="67"/>
      <c r="M162" s="66"/>
      <c r="N162" s="66"/>
      <c r="O162" s="66"/>
      <c r="P162" s="66"/>
      <c r="Q162" s="66"/>
      <c r="R162" s="25"/>
      <c r="S162" s="37"/>
      <c r="T162" s="53">
        <f t="shared" si="13"/>
        <v>170038.5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5"/>
      <c r="E163" s="53"/>
      <c r="F163" s="50"/>
      <c r="G163" s="35"/>
      <c r="H163" s="25"/>
      <c r="I163" s="53"/>
      <c r="J163" s="66"/>
      <c r="K163" s="66"/>
      <c r="L163" s="66"/>
      <c r="M163" s="66"/>
      <c r="N163" s="66"/>
      <c r="O163" s="66"/>
      <c r="P163" s="66"/>
      <c r="Q163" s="66"/>
      <c r="R163" s="25"/>
      <c r="S163" s="37"/>
      <c r="T163" s="53">
        <f t="shared" si="13"/>
        <v>170038.5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5"/>
      <c r="E164" s="53"/>
      <c r="F164" s="50"/>
      <c r="G164" s="35"/>
      <c r="H164" s="35"/>
      <c r="I164" s="53"/>
      <c r="J164" s="66"/>
      <c r="K164" s="66"/>
      <c r="L164" s="66"/>
      <c r="M164" s="66"/>
      <c r="N164" s="66"/>
      <c r="O164" s="66"/>
      <c r="P164" s="66"/>
      <c r="Q164" s="66"/>
      <c r="R164" s="25"/>
      <c r="S164" s="37"/>
      <c r="T164" s="53">
        <f t="shared" si="13"/>
        <v>170038.5</v>
      </c>
      <c r="U164" s="42"/>
      <c r="V164" s="42"/>
      <c r="W164" s="42"/>
      <c r="X164" s="42"/>
      <c r="Y164" s="42"/>
    </row>
    <row r="165" ht="15.75" customHeight="1" spans="1:25" x14ac:dyDescent="0.25">
      <c r="A165" s="25"/>
      <c r="B165" s="35"/>
      <c r="C165" s="25"/>
      <c r="D165" s="25"/>
      <c r="E165" s="53"/>
      <c r="F165" s="50"/>
      <c r="G165" s="35"/>
      <c r="H165" s="35"/>
      <c r="I165" s="53"/>
      <c r="J165" s="66"/>
      <c r="K165" s="66"/>
      <c r="L165" s="66"/>
      <c r="M165" s="66"/>
      <c r="N165" s="66"/>
      <c r="O165" s="66"/>
      <c r="P165" s="66"/>
      <c r="Q165" s="66"/>
      <c r="R165" s="25"/>
      <c r="S165" s="37"/>
      <c r="T165" s="53">
        <f t="shared" si="13"/>
        <v>170038.5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25"/>
      <c r="D166" s="25"/>
      <c r="E166" s="53"/>
      <c r="F166" s="50"/>
      <c r="G166" s="35"/>
      <c r="H166" s="35"/>
      <c r="I166" s="53"/>
      <c r="J166" s="66"/>
      <c r="K166" s="66"/>
      <c r="L166" s="66"/>
      <c r="M166" s="66"/>
      <c r="N166" s="66"/>
      <c r="O166" s="66"/>
      <c r="P166" s="66"/>
      <c r="Q166" s="67"/>
      <c r="R166" s="25"/>
      <c r="S166" s="37"/>
      <c r="T166" s="53">
        <f t="shared" si="13"/>
        <v>170038.5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25"/>
      <c r="D167" s="25"/>
      <c r="E167" s="53"/>
      <c r="F167" s="50"/>
      <c r="G167" s="35"/>
      <c r="H167" s="25"/>
      <c r="I167" s="53"/>
      <c r="J167" s="66"/>
      <c r="K167" s="66"/>
      <c r="L167" s="66"/>
      <c r="M167" s="66"/>
      <c r="N167" s="66"/>
      <c r="O167" s="66"/>
      <c r="P167" s="67"/>
      <c r="Q167" s="66"/>
      <c r="R167" s="25"/>
      <c r="S167" s="37"/>
      <c r="T167" s="53">
        <f t="shared" si="13"/>
        <v>170038.5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25"/>
      <c r="D168" s="25"/>
      <c r="E168" s="53"/>
      <c r="F168" s="50"/>
      <c r="G168" s="35"/>
      <c r="H168" s="35"/>
      <c r="I168" s="53"/>
      <c r="J168" s="66"/>
      <c r="K168" s="66"/>
      <c r="L168" s="66"/>
      <c r="M168" s="66"/>
      <c r="N168" s="66"/>
      <c r="O168" s="66"/>
      <c r="P168" s="67"/>
      <c r="Q168" s="66"/>
      <c r="R168" s="25"/>
      <c r="S168" s="37"/>
      <c r="T168" s="53">
        <f t="shared" si="13"/>
        <v>170038.5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25"/>
      <c r="D169" s="25"/>
      <c r="E169" s="53"/>
      <c r="F169" s="50"/>
      <c r="G169" s="35"/>
      <c r="H169" s="35"/>
      <c r="I169" s="53"/>
      <c r="J169" s="66"/>
      <c r="K169" s="66"/>
      <c r="L169" s="66"/>
      <c r="M169" s="66"/>
      <c r="N169" s="66"/>
      <c r="O169" s="66"/>
      <c r="P169" s="66"/>
      <c r="Q169" s="66"/>
      <c r="R169" s="25"/>
      <c r="S169" s="37"/>
      <c r="T169" s="53">
        <f t="shared" si="13"/>
        <v>170038.5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25"/>
      <c r="D170" s="25"/>
      <c r="E170" s="53"/>
      <c r="F170" s="50"/>
      <c r="G170" s="35"/>
      <c r="H170" s="25"/>
      <c r="I170" s="53"/>
      <c r="J170" s="66"/>
      <c r="K170" s="66"/>
      <c r="L170" s="66"/>
      <c r="M170" s="66"/>
      <c r="N170" s="66"/>
      <c r="O170" s="66"/>
      <c r="P170" s="66"/>
      <c r="Q170" s="66"/>
      <c r="R170" s="25"/>
      <c r="S170" s="37"/>
      <c r="T170" s="53">
        <f t="shared" si="13"/>
        <v>170038.5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25"/>
      <c r="D171" s="25"/>
      <c r="E171" s="53"/>
      <c r="F171" s="50"/>
      <c r="G171" s="35"/>
      <c r="H171" s="25"/>
      <c r="I171" s="53"/>
      <c r="J171" s="66"/>
      <c r="K171" s="67"/>
      <c r="L171" s="66"/>
      <c r="M171" s="66"/>
      <c r="N171" s="66"/>
      <c r="O171" s="66"/>
      <c r="P171" s="66"/>
      <c r="Q171" s="66"/>
      <c r="R171" s="25"/>
      <c r="S171" s="37"/>
      <c r="T171" s="53">
        <f t="shared" si="13"/>
        <v>170038.5</v>
      </c>
      <c r="U171" s="42"/>
      <c r="V171" s="42"/>
      <c r="W171" s="42"/>
      <c r="X171" s="42"/>
      <c r="Y171" s="42"/>
    </row>
    <row r="172" ht="15.75" customHeight="1" spans="1:25" x14ac:dyDescent="0.25">
      <c r="A172" s="25"/>
      <c r="B172" s="35"/>
      <c r="C172" s="25"/>
      <c r="D172" s="25"/>
      <c r="E172" s="53"/>
      <c r="F172" s="50"/>
      <c r="G172" s="35"/>
      <c r="H172" s="25"/>
      <c r="I172" s="53"/>
      <c r="J172" s="66"/>
      <c r="K172" s="66"/>
      <c r="L172" s="66"/>
      <c r="M172" s="66"/>
      <c r="N172" s="66"/>
      <c r="O172" s="66"/>
      <c r="P172" s="66"/>
      <c r="Q172" s="66"/>
      <c r="R172" s="25"/>
      <c r="S172" s="37"/>
      <c r="T172" s="53">
        <f t="shared" si="13"/>
        <v>170038.5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25"/>
      <c r="D173" s="25"/>
      <c r="E173" s="53"/>
      <c r="F173" s="50"/>
      <c r="G173" s="35"/>
      <c r="H173" s="25"/>
      <c r="I173" s="53"/>
      <c r="J173" s="66"/>
      <c r="K173" s="66"/>
      <c r="L173" s="66"/>
      <c r="M173" s="66"/>
      <c r="N173" s="66"/>
      <c r="O173" s="66"/>
      <c r="P173" s="66"/>
      <c r="Q173" s="66"/>
      <c r="R173" s="25"/>
      <c r="S173" s="37"/>
      <c r="T173" s="53">
        <f t="shared" si="13"/>
        <v>170038.5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5"/>
      <c r="D174" s="25"/>
      <c r="E174" s="53"/>
      <c r="F174" s="50"/>
      <c r="G174" s="35"/>
      <c r="H174" s="25"/>
      <c r="I174" s="53"/>
      <c r="J174" s="66"/>
      <c r="K174" s="67"/>
      <c r="L174" s="66"/>
      <c r="M174" s="66"/>
      <c r="N174" s="66"/>
      <c r="O174" s="66"/>
      <c r="P174" s="66"/>
      <c r="Q174" s="66"/>
      <c r="R174" s="25"/>
      <c r="S174" s="37"/>
      <c r="T174" s="53">
        <f t="shared" si="13"/>
        <v>170038.5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5"/>
      <c r="D175" s="25"/>
      <c r="E175" s="53"/>
      <c r="F175" s="50"/>
      <c r="G175" s="25"/>
      <c r="H175" s="25"/>
      <c r="I175" s="53"/>
      <c r="J175" s="66"/>
      <c r="K175" s="67"/>
      <c r="L175" s="66"/>
      <c r="M175" s="66"/>
      <c r="N175" s="66"/>
      <c r="O175" s="66"/>
      <c r="P175" s="66"/>
      <c r="Q175" s="66"/>
      <c r="R175" s="25"/>
      <c r="S175" s="37"/>
      <c r="T175" s="53">
        <f t="shared" si="13"/>
        <v>170038.5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5"/>
      <c r="D176" s="23"/>
      <c r="E176" s="54"/>
      <c r="F176" s="50"/>
      <c r="G176" s="25"/>
      <c r="H176" s="25"/>
      <c r="I176" s="53"/>
      <c r="J176" s="66"/>
      <c r="K176" s="67"/>
      <c r="L176" s="66"/>
      <c r="M176" s="66"/>
      <c r="N176" s="66"/>
      <c r="O176" s="66"/>
      <c r="P176" s="66"/>
      <c r="Q176" s="66"/>
      <c r="R176" s="25"/>
      <c r="S176" s="37"/>
      <c r="T176" s="53">
        <f t="shared" si="13"/>
        <v>170038.5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5"/>
      <c r="D177" s="25"/>
      <c r="E177" s="54"/>
      <c r="F177" s="50"/>
      <c r="G177" s="35"/>
      <c r="H177" s="35"/>
      <c r="I177" s="53"/>
      <c r="J177" s="66"/>
      <c r="K177" s="67"/>
      <c r="L177" s="66"/>
      <c r="M177" s="66"/>
      <c r="N177" s="66"/>
      <c r="O177" s="66"/>
      <c r="P177" s="66"/>
      <c r="Q177" s="66"/>
      <c r="R177" s="25"/>
      <c r="S177" s="37"/>
      <c r="T177" s="53">
        <f t="shared" si="13"/>
        <v>170038.5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0"/>
      <c r="G178" s="25"/>
      <c r="H178" s="25"/>
      <c r="I178" s="53"/>
      <c r="J178" s="66"/>
      <c r="K178" s="67"/>
      <c r="L178" s="66"/>
      <c r="M178" s="66"/>
      <c r="N178" s="66"/>
      <c r="O178" s="66"/>
      <c r="P178" s="66"/>
      <c r="Q178" s="66"/>
      <c r="R178" s="25"/>
      <c r="S178" s="37"/>
      <c r="T178" s="53">
        <f t="shared" si="13"/>
        <v>170038.5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0"/>
      <c r="G179" s="25"/>
      <c r="H179" s="25"/>
      <c r="I179" s="53"/>
      <c r="J179" s="66"/>
      <c r="K179" s="67"/>
      <c r="L179" s="66"/>
      <c r="M179" s="66"/>
      <c r="N179" s="66"/>
      <c r="O179" s="66"/>
      <c r="P179" s="66"/>
      <c r="Q179" s="66"/>
      <c r="R179" s="25"/>
      <c r="S179" s="37"/>
      <c r="T179" s="53">
        <f t="shared" si="13"/>
        <v>170038.5</v>
      </c>
      <c r="U179" s="42"/>
      <c r="V179" s="42"/>
      <c r="W179" s="42"/>
      <c r="X179" s="42"/>
      <c r="Y179" s="42"/>
    </row>
    <row r="180" ht="15.75" customHeight="1" spans="1:25" x14ac:dyDescent="0.25">
      <c r="A180" s="25"/>
      <c r="B180" s="35"/>
      <c r="C180" s="25"/>
      <c r="D180" s="23"/>
      <c r="E180" s="54"/>
      <c r="F180" s="50"/>
      <c r="G180" s="25"/>
      <c r="H180" s="25"/>
      <c r="I180" s="53"/>
      <c r="J180" s="66"/>
      <c r="K180" s="67"/>
      <c r="L180" s="66"/>
      <c r="M180" s="66"/>
      <c r="N180" s="66"/>
      <c r="O180" s="66"/>
      <c r="P180" s="66"/>
      <c r="Q180" s="66"/>
      <c r="R180" s="25"/>
      <c r="S180" s="37"/>
      <c r="T180" s="53">
        <f t="shared" si="13"/>
        <v>170038.5</v>
      </c>
      <c r="U180" s="42"/>
      <c r="V180" s="42"/>
      <c r="W180" s="42"/>
      <c r="X180" s="42"/>
      <c r="Y180" s="42"/>
    </row>
    <row r="181" ht="15.75" customHeight="1" spans="1:25" x14ac:dyDescent="0.25">
      <c r="A181" s="25"/>
      <c r="B181" s="35"/>
      <c r="C181" s="25"/>
      <c r="D181" s="23"/>
      <c r="E181" s="54"/>
      <c r="F181" s="50"/>
      <c r="G181" s="25"/>
      <c r="H181" s="25"/>
      <c r="I181" s="53"/>
      <c r="J181" s="66"/>
      <c r="K181" s="66"/>
      <c r="L181" s="66"/>
      <c r="M181" s="66"/>
      <c r="N181" s="66"/>
      <c r="O181" s="66"/>
      <c r="P181" s="66"/>
      <c r="Q181" s="66"/>
      <c r="R181" s="25"/>
      <c r="S181" s="37"/>
      <c r="T181" s="53">
        <f t="shared" si="13"/>
        <v>170038.5</v>
      </c>
      <c r="U181" s="42"/>
      <c r="V181" s="42"/>
      <c r="W181" s="42"/>
      <c r="X181" s="42"/>
      <c r="Y181" s="42"/>
    </row>
    <row r="182" ht="15.75" customHeight="1" spans="1:25" x14ac:dyDescent="0.25">
      <c r="A182" s="25"/>
      <c r="B182" s="35"/>
      <c r="C182" s="25"/>
      <c r="D182" s="25"/>
      <c r="E182" s="53"/>
      <c r="F182" s="50"/>
      <c r="G182" s="25"/>
      <c r="H182" s="25"/>
      <c r="I182" s="53"/>
      <c r="J182" s="66"/>
      <c r="K182" s="66"/>
      <c r="L182" s="66"/>
      <c r="M182" s="66"/>
      <c r="N182" s="66"/>
      <c r="O182" s="66"/>
      <c r="P182" s="66"/>
      <c r="Q182" s="66"/>
      <c r="R182" s="25"/>
      <c r="S182" s="37"/>
      <c r="T182" s="53">
        <f t="shared" si="13"/>
        <v>170038.5</v>
      </c>
      <c r="U182" s="42"/>
      <c r="V182" s="42"/>
      <c r="W182" s="42"/>
      <c r="X182" s="42"/>
      <c r="Y182" s="42"/>
    </row>
    <row r="183" ht="15.75" customHeight="1" spans="1:25" x14ac:dyDescent="0.25">
      <c r="A183" s="25"/>
      <c r="B183" s="35"/>
      <c r="C183" s="25"/>
      <c r="D183" s="25"/>
      <c r="E183" s="53"/>
      <c r="F183" s="50"/>
      <c r="G183" s="35"/>
      <c r="H183" s="35"/>
      <c r="I183" s="53"/>
      <c r="J183" s="66"/>
      <c r="K183" s="66"/>
      <c r="L183" s="66"/>
      <c r="M183" s="66"/>
      <c r="N183" s="66"/>
      <c r="O183" s="66"/>
      <c r="P183" s="66"/>
      <c r="Q183" s="66"/>
      <c r="R183" s="25"/>
      <c r="S183" s="37"/>
      <c r="T183" s="53">
        <f t="shared" si="13"/>
        <v>170038.5</v>
      </c>
      <c r="U183" s="42"/>
      <c r="V183" s="42"/>
      <c r="W183" s="42"/>
      <c r="X183" s="42"/>
      <c r="Y183" s="42"/>
    </row>
    <row r="184" ht="15.75" customHeight="1" spans="1:25" x14ac:dyDescent="0.25">
      <c r="A184" s="25"/>
      <c r="B184" s="35"/>
      <c r="C184" s="25"/>
      <c r="D184" s="23"/>
      <c r="E184" s="53"/>
      <c r="F184" s="50"/>
      <c r="G184" s="35"/>
      <c r="H184" s="35"/>
      <c r="I184" s="53"/>
      <c r="J184" s="66"/>
      <c r="K184" s="66"/>
      <c r="L184" s="66"/>
      <c r="M184" s="66"/>
      <c r="N184" s="66"/>
      <c r="O184" s="66"/>
      <c r="P184" s="66"/>
      <c r="Q184" s="67"/>
      <c r="R184" s="25"/>
      <c r="S184" s="37"/>
      <c r="T184" s="53">
        <f t="shared" si="13"/>
        <v>170038.5</v>
      </c>
      <c r="U184" s="42"/>
      <c r="V184" s="42"/>
      <c r="W184" s="42"/>
      <c r="X184" s="42"/>
      <c r="Y184" s="42"/>
    </row>
    <row r="185" ht="15.75" customHeight="1" spans="1:25" x14ac:dyDescent="0.25">
      <c r="A185" s="25"/>
      <c r="B185" s="35"/>
      <c r="C185" s="25"/>
      <c r="D185" s="25"/>
      <c r="E185" s="53"/>
      <c r="F185" s="50"/>
      <c r="G185" s="35"/>
      <c r="H185" s="25"/>
      <c r="I185" s="53"/>
      <c r="J185" s="66"/>
      <c r="K185" s="66"/>
      <c r="L185" s="66"/>
      <c r="M185" s="66"/>
      <c r="N185" s="66"/>
      <c r="O185" s="66"/>
      <c r="P185" s="67"/>
      <c r="Q185" s="66"/>
      <c r="R185" s="25"/>
      <c r="S185" s="37"/>
      <c r="T185" s="53">
        <f t="shared" si="13"/>
        <v>170038.5</v>
      </c>
      <c r="U185" s="42"/>
      <c r="V185" s="42"/>
      <c r="W185" s="42"/>
      <c r="X185" s="42"/>
      <c r="Y185" s="42"/>
    </row>
    <row r="186" ht="15.75" customHeight="1" spans="1:25" x14ac:dyDescent="0.25">
      <c r="A186" s="25"/>
      <c r="B186" s="35"/>
      <c r="C186" s="25"/>
      <c r="D186" s="25"/>
      <c r="E186" s="53"/>
      <c r="F186" s="50"/>
      <c r="G186" s="25"/>
      <c r="H186" s="25"/>
      <c r="I186" s="53"/>
      <c r="J186" s="66"/>
      <c r="K186" s="66"/>
      <c r="L186" s="66"/>
      <c r="M186" s="66"/>
      <c r="N186" s="66"/>
      <c r="O186" s="66"/>
      <c r="P186" s="66"/>
      <c r="Q186" s="66"/>
      <c r="R186" s="25"/>
      <c r="S186" s="37"/>
      <c r="T186" s="53">
        <f t="shared" si="13"/>
        <v>170038.5</v>
      </c>
      <c r="U186" s="42"/>
      <c r="V186" s="42"/>
      <c r="W186" s="42"/>
      <c r="X186" s="42"/>
      <c r="Y186" s="42"/>
    </row>
    <row r="187" ht="15.75" customHeight="1" spans="1:25" x14ac:dyDescent="0.25">
      <c r="A187" s="25"/>
      <c r="B187" s="35"/>
      <c r="C187" s="25"/>
      <c r="D187" s="23"/>
      <c r="E187" s="54"/>
      <c r="F187" s="50"/>
      <c r="G187" s="25"/>
      <c r="H187" s="35"/>
      <c r="I187" s="53"/>
      <c r="J187" s="66"/>
      <c r="K187" s="66"/>
      <c r="L187" s="66"/>
      <c r="M187" s="66"/>
      <c r="N187" s="66"/>
      <c r="O187" s="66"/>
      <c r="P187" s="66"/>
      <c r="Q187" s="66"/>
      <c r="R187" s="25"/>
      <c r="S187" s="37"/>
      <c r="T187" s="53">
        <f t="shared" si="13"/>
        <v>170038.5</v>
      </c>
      <c r="U187" s="42"/>
      <c r="V187" s="42"/>
      <c r="W187" s="42"/>
      <c r="X187" s="42"/>
      <c r="Y187" s="42"/>
    </row>
    <row r="188" ht="15.75" customHeight="1" spans="1:25" x14ac:dyDescent="0.25">
      <c r="A188" s="25"/>
      <c r="B188" s="35"/>
      <c r="C188" s="25"/>
      <c r="D188" s="23"/>
      <c r="E188" s="54"/>
      <c r="F188" s="50"/>
      <c r="G188" s="35"/>
      <c r="H188" s="35"/>
      <c r="I188" s="53"/>
      <c r="J188" s="66"/>
      <c r="K188" s="66"/>
      <c r="L188" s="66"/>
      <c r="M188" s="66"/>
      <c r="N188" s="66"/>
      <c r="O188" s="66"/>
      <c r="P188" s="66"/>
      <c r="Q188" s="66"/>
      <c r="R188" s="25"/>
      <c r="S188" s="37"/>
      <c r="T188" s="53">
        <f t="shared" si="13"/>
        <v>170038.5</v>
      </c>
      <c r="U188" s="42"/>
      <c r="V188" s="42"/>
      <c r="W188" s="42"/>
      <c r="X188" s="42"/>
      <c r="Y188" s="42"/>
    </row>
    <row r="189" ht="15.75" customHeight="1" spans="1:25" x14ac:dyDescent="0.25">
      <c r="A189" s="25"/>
      <c r="B189" s="35"/>
      <c r="C189" s="25"/>
      <c r="D189" s="23"/>
      <c r="E189" s="80"/>
      <c r="F189" s="50"/>
      <c r="G189" s="35"/>
      <c r="H189" s="35"/>
      <c r="I189" s="53"/>
      <c r="J189" s="66"/>
      <c r="K189" s="66"/>
      <c r="L189" s="66"/>
      <c r="M189" s="66"/>
      <c r="N189" s="66"/>
      <c r="O189" s="66"/>
      <c r="P189" s="66"/>
      <c r="Q189" s="66"/>
      <c r="R189" s="25"/>
      <c r="S189" s="37"/>
      <c r="T189" s="53">
        <f t="shared" si="13"/>
        <v>170038.5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25"/>
      <c r="D190" s="25"/>
      <c r="E190" s="53"/>
      <c r="F190" s="50"/>
      <c r="G190" s="25"/>
      <c r="H190" s="35"/>
      <c r="I190" s="53"/>
      <c r="J190" s="66"/>
      <c r="K190" s="66"/>
      <c r="L190" s="66"/>
      <c r="M190" s="66"/>
      <c r="N190" s="66"/>
      <c r="O190" s="66"/>
      <c r="P190" s="66"/>
      <c r="Q190" s="66"/>
      <c r="R190" s="25"/>
      <c r="S190" s="37"/>
      <c r="T190" s="53">
        <f t="shared" si="13"/>
        <v>170038.5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25"/>
      <c r="D191" s="25"/>
      <c r="E191" s="53"/>
      <c r="F191" s="50"/>
      <c r="G191" s="35"/>
      <c r="H191" s="35"/>
      <c r="I191" s="53"/>
      <c r="J191" s="66"/>
      <c r="K191" s="66"/>
      <c r="L191" s="66"/>
      <c r="M191" s="66"/>
      <c r="N191" s="66"/>
      <c r="O191" s="66"/>
      <c r="P191" s="67"/>
      <c r="Q191" s="66"/>
      <c r="R191" s="25"/>
      <c r="S191" s="37"/>
      <c r="T191" s="53">
        <f t="shared" si="13"/>
        <v>170038.5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25"/>
      <c r="D192" s="25"/>
      <c r="E192" s="53"/>
      <c r="F192" s="50"/>
      <c r="G192" s="35"/>
      <c r="H192" s="35"/>
      <c r="I192" s="53"/>
      <c r="J192" s="66"/>
      <c r="K192" s="66"/>
      <c r="L192" s="66"/>
      <c r="M192" s="67"/>
      <c r="N192" s="66"/>
      <c r="O192" s="66"/>
      <c r="P192" s="66"/>
      <c r="Q192" s="66"/>
      <c r="R192" s="25"/>
      <c r="S192" s="37"/>
      <c r="T192" s="53">
        <f t="shared" si="13"/>
        <v>170038.5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25"/>
      <c r="D193" s="25"/>
      <c r="E193" s="53"/>
      <c r="F193" s="50"/>
      <c r="G193" s="35"/>
      <c r="H193" s="35"/>
      <c r="I193" s="53"/>
      <c r="J193" s="66"/>
      <c r="K193" s="66"/>
      <c r="L193" s="66"/>
      <c r="M193" s="66"/>
      <c r="N193" s="66"/>
      <c r="O193" s="66"/>
      <c r="P193" s="66"/>
      <c r="Q193" s="66"/>
      <c r="R193" s="25"/>
      <c r="S193" s="37"/>
      <c r="T193" s="53">
        <f t="shared" si="13"/>
        <v>170038.5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35"/>
      <c r="H194" s="25"/>
      <c r="I194" s="65"/>
      <c r="J194" s="66"/>
      <c r="K194" s="66"/>
      <c r="L194" s="66"/>
      <c r="M194" s="66"/>
      <c r="N194" s="66"/>
      <c r="O194" s="66"/>
      <c r="P194" s="66"/>
      <c r="Q194" s="66"/>
      <c r="R194" s="25"/>
      <c r="S194" s="37"/>
      <c r="T194" s="53">
        <f t="shared" si="13"/>
        <v>170038.5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5"/>
      <c r="I195" s="65"/>
      <c r="J195" s="66"/>
      <c r="K195" s="66"/>
      <c r="L195" s="66"/>
      <c r="M195" s="66"/>
      <c r="N195" s="66"/>
      <c r="O195" s="66"/>
      <c r="P195" s="66"/>
      <c r="Q195" s="66"/>
      <c r="R195" s="25"/>
      <c r="S195" s="37"/>
      <c r="T195" s="53">
        <f t="shared" si="13"/>
        <v>170038.5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35"/>
      <c r="I196" s="53"/>
      <c r="J196" s="66"/>
      <c r="K196" s="66"/>
      <c r="L196" s="66"/>
      <c r="M196" s="66"/>
      <c r="N196" s="66"/>
      <c r="O196" s="66"/>
      <c r="P196" s="66"/>
      <c r="Q196" s="66"/>
      <c r="R196" s="25"/>
      <c r="S196" s="37"/>
      <c r="T196" s="53">
        <f t="shared" si="13"/>
        <v>170038.5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35"/>
      <c r="I197" s="53"/>
      <c r="J197" s="66"/>
      <c r="L197" s="66"/>
      <c r="M197" s="66"/>
      <c r="N197" s="66"/>
      <c r="O197" s="66"/>
      <c r="P197" s="66"/>
      <c r="Q197" s="66"/>
      <c r="R197" s="25"/>
      <c r="S197" s="37"/>
      <c r="T197" s="53">
        <f t="shared" si="13"/>
        <v>170038.5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35"/>
      <c r="I198" s="65"/>
      <c r="J198" s="66"/>
      <c r="K198" s="66"/>
      <c r="L198" s="66"/>
      <c r="M198" s="66"/>
      <c r="N198" s="66"/>
      <c r="O198" s="66"/>
      <c r="P198" s="66"/>
      <c r="Q198" s="66"/>
      <c r="R198" s="25"/>
      <c r="S198" s="37"/>
      <c r="T198" s="53">
        <f t="shared" si="13"/>
        <v>170038.5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3"/>
      <c r="D199" s="25"/>
      <c r="E199" s="53"/>
      <c r="F199" s="50"/>
      <c r="G199" s="35"/>
      <c r="H199" s="35"/>
      <c r="I199" s="65"/>
      <c r="J199" s="66"/>
      <c r="K199" s="66"/>
      <c r="L199" s="66"/>
      <c r="M199" s="66"/>
      <c r="N199" s="66"/>
      <c r="O199" s="66"/>
      <c r="P199" s="66"/>
      <c r="Q199" s="66"/>
      <c r="R199" s="25"/>
      <c r="S199" s="37"/>
      <c r="T199" s="53">
        <f t="shared" si="13"/>
        <v>170038.5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35"/>
      <c r="I200" s="65"/>
      <c r="J200" s="66"/>
      <c r="K200" s="66"/>
      <c r="L200" s="66"/>
      <c r="M200" s="66"/>
      <c r="N200" s="66"/>
      <c r="O200" s="66"/>
      <c r="P200" s="66"/>
      <c r="Q200" s="66"/>
      <c r="R200" s="25"/>
      <c r="S200" s="37"/>
      <c r="T200" s="53">
        <f t="shared" si="13"/>
        <v>170038.5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5"/>
      <c r="I201" s="65"/>
      <c r="J201" s="66"/>
      <c r="K201" s="66"/>
      <c r="L201" s="66"/>
      <c r="M201" s="66"/>
      <c r="N201" s="66"/>
      <c r="O201" s="66"/>
      <c r="P201" s="66"/>
      <c r="Q201" s="66"/>
      <c r="R201" s="25"/>
      <c r="S201" s="37"/>
      <c r="T201" s="53">
        <f t="shared" si="13"/>
        <v>170038.5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3">
        <f t="shared" si="13"/>
        <v>170038.5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3"/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3">
        <f t="shared" ref="T204:T226" si="14">T203-E204</f>
        <v>0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3">
        <f t="shared" si="14"/>
        <v>0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3">
        <f t="shared" si="14"/>
        <v>0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3">
        <f t="shared" si="14"/>
        <v>0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3">
        <f t="shared" si="14"/>
        <v>0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3">
        <f t="shared" si="14"/>
        <v>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3">
        <f t="shared" si="14"/>
        <v>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3">
        <f t="shared" si="14"/>
        <v>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3">
        <f t="shared" si="14"/>
        <v>0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3">
        <f t="shared" si="14"/>
        <v>0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3">
        <f t="shared" si="14"/>
        <v>0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3">
        <f t="shared" si="14"/>
        <v>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3">
        <f t="shared" si="14"/>
        <v>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3">
        <f t="shared" si="14"/>
        <v>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3">
        <f t="shared" si="14"/>
        <v>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3">
        <f t="shared" si="14"/>
        <v>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3">
        <f t="shared" si="14"/>
        <v>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14"/>
        <v>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14"/>
        <v>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14"/>
        <v>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14"/>
        <v>0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14"/>
        <v>0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14"/>
        <v>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111000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15">T227-E228</f>
        <v>111000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15"/>
        <v>111000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15"/>
        <v>111000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15"/>
        <v>111000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15"/>
        <v>111000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15"/>
        <v>111000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15"/>
        <v>111000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15"/>
        <v>111000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15"/>
        <v>111000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15"/>
        <v>111000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15"/>
        <v>111000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15"/>
        <v>111000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15"/>
        <v>111000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15"/>
        <v>111000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15"/>
        <v>111000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15"/>
        <v>111000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15"/>
        <v>111000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15"/>
        <v>111000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15"/>
        <v>111000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15"/>
        <v>111000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15"/>
        <v>111000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15"/>
        <v>111000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15"/>
        <v>111000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15"/>
        <v>111000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15"/>
        <v>111000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15"/>
        <v>111000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15"/>
        <v>111000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15"/>
        <v>111000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15"/>
        <v>111000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15"/>
        <v>111000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156000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16">T258-E259</f>
        <v>156000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16"/>
        <v>156000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16"/>
        <v>156000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4.4414062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9.109375" customWidth="1"/>
    <col min="11" max="11" width="10.21875" customWidth="1"/>
    <col min="12" max="12" width="8.33203125" customWidth="1"/>
    <col min="13" max="13" width="7.6640625" customWidth="1"/>
    <col min="15" max="15" width="10.21875" customWidth="1"/>
    <col min="17" max="17" width="10.44140625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1133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170038.5</v>
      </c>
      <c r="U3" s="42"/>
      <c r="V3" s="42"/>
      <c r="W3" s="42"/>
      <c r="X3" s="42"/>
      <c r="Y3" s="42"/>
    </row>
    <row r="4" ht="15.75" customHeight="1" spans="1:25" x14ac:dyDescent="0.25">
      <c r="A4" s="25"/>
      <c r="B4" s="35">
        <v>1093</v>
      </c>
      <c r="C4" s="25" t="s">
        <v>170</v>
      </c>
      <c r="D4" s="25" t="s">
        <v>196</v>
      </c>
      <c r="E4" s="53">
        <v>5400</v>
      </c>
      <c r="F4" s="50"/>
      <c r="G4" s="35">
        <v>54</v>
      </c>
      <c r="H4" s="35">
        <v>100</v>
      </c>
      <c r="I4" s="53">
        <f t="shared" ref="I4:I6" si="0">G4*H4</f>
        <v>5400</v>
      </c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 t="shared" ref="T4:T75" si="1">T3-E4</f>
        <v>164638.5</v>
      </c>
      <c r="U4" s="42"/>
      <c r="V4" s="42"/>
      <c r="W4" s="42"/>
      <c r="X4" s="42"/>
      <c r="Y4" s="42"/>
    </row>
    <row r="5" ht="15.75" customHeight="1" spans="1:25" x14ac:dyDescent="0.25">
      <c r="A5" s="25"/>
      <c r="B5" s="35">
        <v>1094</v>
      </c>
      <c r="C5" s="25" t="s">
        <v>170</v>
      </c>
      <c r="D5" s="25" t="s">
        <v>121</v>
      </c>
      <c r="E5" s="53">
        <v>3100</v>
      </c>
      <c r="F5" s="50"/>
      <c r="G5" s="35">
        <v>31</v>
      </c>
      <c r="H5" s="35">
        <v>100</v>
      </c>
      <c r="I5" s="53">
        <f t="shared" si="0"/>
        <v>3100</v>
      </c>
      <c r="J5" s="66"/>
      <c r="K5" s="66"/>
      <c r="L5" s="66"/>
      <c r="M5" s="66"/>
      <c r="N5" s="66"/>
      <c r="O5" s="66"/>
      <c r="P5" s="66"/>
      <c r="Q5" s="66"/>
      <c r="R5" s="25"/>
      <c r="S5" s="36"/>
      <c r="T5" s="53">
        <f t="shared" si="1"/>
        <v>161538.5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1095</v>
      </c>
      <c r="C6" s="25" t="s">
        <v>170</v>
      </c>
      <c r="D6" s="25" t="s">
        <v>420</v>
      </c>
      <c r="E6" s="53">
        <v>1400</v>
      </c>
      <c r="F6" s="50"/>
      <c r="G6" s="35">
        <v>14</v>
      </c>
      <c r="H6" s="35">
        <v>100</v>
      </c>
      <c r="I6" s="53">
        <f t="shared" si="0"/>
        <v>1400</v>
      </c>
      <c r="J6" s="66"/>
      <c r="K6" s="66"/>
      <c r="L6" s="66"/>
      <c r="M6" s="66"/>
      <c r="N6" s="66"/>
      <c r="O6" s="66"/>
      <c r="P6" s="66"/>
      <c r="Q6" s="66"/>
      <c r="R6" s="25"/>
      <c r="S6" s="36"/>
      <c r="T6" s="53">
        <f t="shared" si="1"/>
        <v>160138.5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1096</v>
      </c>
      <c r="C7" s="25" t="s">
        <v>1134</v>
      </c>
      <c r="D7" s="25" t="s">
        <v>999</v>
      </c>
      <c r="E7" s="53">
        <v>950</v>
      </c>
      <c r="F7" s="50"/>
      <c r="G7" s="25"/>
      <c r="H7" s="35"/>
      <c r="I7" s="53"/>
      <c r="J7" s="66"/>
      <c r="K7" s="66"/>
      <c r="L7" s="66"/>
      <c r="M7" s="67"/>
      <c r="N7" s="66">
        <v>950</v>
      </c>
      <c r="O7" s="66"/>
      <c r="P7" s="66"/>
      <c r="Q7" s="66"/>
      <c r="R7" s="25"/>
      <c r="S7" s="36"/>
      <c r="T7" s="53">
        <f t="shared" si="1"/>
        <v>159188.5</v>
      </c>
      <c r="U7" s="42"/>
      <c r="V7" s="42"/>
      <c r="W7" s="42"/>
      <c r="X7" s="42"/>
      <c r="Y7" s="42"/>
    </row>
    <row r="8" ht="15.75" customHeight="1" spans="1:25" x14ac:dyDescent="0.25">
      <c r="A8" s="25" t="s">
        <v>1135</v>
      </c>
      <c r="B8" s="35">
        <v>1097</v>
      </c>
      <c r="C8" s="25" t="s">
        <v>170</v>
      </c>
      <c r="D8" s="25" t="s">
        <v>52</v>
      </c>
      <c r="E8" s="53">
        <v>4400</v>
      </c>
      <c r="F8" s="50"/>
      <c r="G8" s="25">
        <v>44</v>
      </c>
      <c r="H8" s="25">
        <v>100</v>
      </c>
      <c r="I8" s="53">
        <f t="shared" ref="I8:I10" si="2">G8*H8</f>
        <v>4400</v>
      </c>
      <c r="J8" s="66"/>
      <c r="K8" s="66"/>
      <c r="L8" s="66"/>
      <c r="M8" s="66"/>
      <c r="N8" s="66"/>
      <c r="O8" s="66"/>
      <c r="P8" s="67"/>
      <c r="Q8" s="66"/>
      <c r="R8" s="25"/>
      <c r="S8" s="36"/>
      <c r="T8" s="53">
        <f t="shared" si="1"/>
        <v>154788.5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1098</v>
      </c>
      <c r="C9" s="25" t="s">
        <v>170</v>
      </c>
      <c r="D9" s="25" t="s">
        <v>507</v>
      </c>
      <c r="E9" s="53">
        <v>1800</v>
      </c>
      <c r="F9" s="50"/>
      <c r="G9" s="35">
        <v>18</v>
      </c>
      <c r="H9" s="25">
        <v>100</v>
      </c>
      <c r="I9" s="53">
        <f t="shared" si="2"/>
        <v>1800</v>
      </c>
      <c r="J9" s="66"/>
      <c r="K9" s="66"/>
      <c r="L9" s="66"/>
      <c r="M9" s="66"/>
      <c r="N9" s="66"/>
      <c r="O9" s="66"/>
      <c r="P9" s="66"/>
      <c r="Q9" s="66"/>
      <c r="R9" s="25"/>
      <c r="S9" s="36"/>
      <c r="T9" s="53">
        <f t="shared" si="1"/>
        <v>152988.5</v>
      </c>
      <c r="U9" s="42"/>
      <c r="V9" s="42"/>
      <c r="W9" s="42"/>
      <c r="X9" s="42"/>
      <c r="Y9" s="42"/>
    </row>
    <row r="10" ht="15.75" customHeight="1" spans="1:25" x14ac:dyDescent="0.25">
      <c r="A10" s="25" t="s">
        <v>1136</v>
      </c>
      <c r="B10" s="35">
        <v>1099</v>
      </c>
      <c r="C10" s="25" t="s">
        <v>170</v>
      </c>
      <c r="D10" s="25" t="s">
        <v>263</v>
      </c>
      <c r="E10" s="53">
        <v>2500</v>
      </c>
      <c r="F10" s="50"/>
      <c r="G10" s="35">
        <v>25</v>
      </c>
      <c r="H10" s="25">
        <v>100</v>
      </c>
      <c r="I10" s="53">
        <f t="shared" si="2"/>
        <v>2500</v>
      </c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 t="shared" si="1"/>
        <v>150488.5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1100</v>
      </c>
      <c r="C11" s="25" t="s">
        <v>1137</v>
      </c>
      <c r="D11" s="25" t="s">
        <v>1138</v>
      </c>
      <c r="E11" s="53">
        <v>4000</v>
      </c>
      <c r="F11" s="50"/>
      <c r="G11" s="35">
        <v>50</v>
      </c>
      <c r="H11" s="35">
        <v>80</v>
      </c>
      <c r="I11" s="53">
        <v>4000</v>
      </c>
      <c r="J11" s="66"/>
      <c r="K11" s="66"/>
      <c r="L11" s="67"/>
      <c r="M11" s="66"/>
      <c r="N11" s="66"/>
      <c r="O11" s="66"/>
      <c r="P11" s="66"/>
      <c r="Q11" s="66"/>
      <c r="R11" s="25"/>
      <c r="S11" s="36"/>
      <c r="T11" s="53">
        <f t="shared" si="1"/>
        <v>146488.5</v>
      </c>
      <c r="U11" s="42"/>
      <c r="V11" s="42"/>
      <c r="W11" s="42"/>
      <c r="X11" s="42"/>
      <c r="Y11" s="42"/>
    </row>
    <row r="12" ht="15.75" customHeight="1" spans="1:25" x14ac:dyDescent="0.25">
      <c r="A12" s="25" t="s">
        <v>1139</v>
      </c>
      <c r="B12" s="35">
        <v>1101</v>
      </c>
      <c r="C12" s="25" t="s">
        <v>170</v>
      </c>
      <c r="D12" s="25" t="s">
        <v>196</v>
      </c>
      <c r="E12" s="53">
        <v>5200</v>
      </c>
      <c r="F12" s="50"/>
      <c r="G12" s="35">
        <v>52</v>
      </c>
      <c r="H12" s="25">
        <v>100</v>
      </c>
      <c r="I12" s="53">
        <v>5200</v>
      </c>
      <c r="J12" s="66"/>
      <c r="K12" s="66"/>
      <c r="L12" s="66"/>
      <c r="M12" s="66"/>
      <c r="N12" s="66"/>
      <c r="O12" s="66"/>
      <c r="P12" s="66"/>
      <c r="Q12" s="66"/>
      <c r="R12" s="25"/>
      <c r="S12" s="36"/>
      <c r="T12" s="53">
        <f t="shared" si="1"/>
        <v>141288.5</v>
      </c>
      <c r="U12" s="42"/>
      <c r="V12" s="42"/>
      <c r="W12" s="42"/>
      <c r="X12" s="42"/>
      <c r="Y12" s="42"/>
    </row>
    <row r="13" ht="15.75" customHeight="1" spans="1:25" x14ac:dyDescent="0.25">
      <c r="A13" s="25" t="s">
        <v>1140</v>
      </c>
      <c r="B13" s="35">
        <v>1102</v>
      </c>
      <c r="C13" s="25" t="s">
        <v>1141</v>
      </c>
      <c r="D13" s="25" t="s">
        <v>176</v>
      </c>
      <c r="E13" s="53">
        <v>1500</v>
      </c>
      <c r="F13" s="50"/>
      <c r="G13" s="35"/>
      <c r="H13" s="35"/>
      <c r="I13" s="53"/>
      <c r="J13" s="66"/>
      <c r="K13" s="66"/>
      <c r="L13" s="66"/>
      <c r="M13" s="66"/>
      <c r="N13" s="66">
        <v>1500</v>
      </c>
      <c r="O13" s="66"/>
      <c r="P13" s="66"/>
      <c r="Q13" s="66"/>
      <c r="R13" s="25"/>
      <c r="S13" s="36"/>
      <c r="T13" s="53">
        <f t="shared" si="1"/>
        <v>139788.5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5">
        <v>1103</v>
      </c>
      <c r="C14" s="25" t="s">
        <v>1142</v>
      </c>
      <c r="D14" s="25" t="s">
        <v>119</v>
      </c>
      <c r="E14" s="53">
        <v>700</v>
      </c>
      <c r="F14" s="50"/>
      <c r="G14" s="35"/>
      <c r="H14" s="35"/>
      <c r="I14" s="53"/>
      <c r="J14" s="66"/>
      <c r="K14" s="66"/>
      <c r="L14" s="66"/>
      <c r="M14" s="66">
        <v>700</v>
      </c>
      <c r="N14" s="66"/>
      <c r="O14" s="66"/>
      <c r="P14" s="66"/>
      <c r="Q14" s="66"/>
      <c r="R14" s="25"/>
      <c r="S14" s="36"/>
      <c r="T14" s="53">
        <f t="shared" si="1"/>
        <v>139088.5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1104</v>
      </c>
      <c r="C15" s="25" t="s">
        <v>170</v>
      </c>
      <c r="D15" s="25" t="s">
        <v>1143</v>
      </c>
      <c r="E15" s="53">
        <v>1100</v>
      </c>
      <c r="F15" s="50"/>
      <c r="G15" s="35">
        <v>11</v>
      </c>
      <c r="H15" s="35">
        <v>100</v>
      </c>
      <c r="I15" s="53">
        <v>1100</v>
      </c>
      <c r="J15" s="66"/>
      <c r="K15" s="66"/>
      <c r="L15" s="66"/>
      <c r="M15" s="66"/>
      <c r="N15" s="66"/>
      <c r="O15" s="66"/>
      <c r="P15" s="66"/>
      <c r="Q15" s="67"/>
      <c r="R15" s="25"/>
      <c r="S15" s="36"/>
      <c r="T15" s="53">
        <f t="shared" si="1"/>
        <v>137988.5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1105</v>
      </c>
      <c r="C16" s="25" t="s">
        <v>170</v>
      </c>
      <c r="D16" s="25" t="s">
        <v>54</v>
      </c>
      <c r="E16" s="53">
        <v>3500</v>
      </c>
      <c r="F16" s="50"/>
      <c r="G16" s="35">
        <v>35</v>
      </c>
      <c r="H16" s="25">
        <v>100</v>
      </c>
      <c r="I16" s="53">
        <v>3500</v>
      </c>
      <c r="J16" s="66"/>
      <c r="K16" s="66"/>
      <c r="L16" s="66"/>
      <c r="M16" s="66"/>
      <c r="N16" s="66"/>
      <c r="O16" s="66"/>
      <c r="P16" s="67"/>
      <c r="Q16" s="66"/>
      <c r="R16" s="25"/>
      <c r="S16" s="36"/>
      <c r="T16" s="53">
        <f t="shared" si="1"/>
        <v>134488.5</v>
      </c>
      <c r="U16" s="42"/>
      <c r="V16" s="42"/>
      <c r="W16" s="42"/>
      <c r="X16" s="42"/>
      <c r="Y16" s="42"/>
    </row>
    <row r="17" ht="15.75" customHeight="1" spans="1:25" x14ac:dyDescent="0.25">
      <c r="A17" s="25" t="s">
        <v>1144</v>
      </c>
      <c r="B17" s="35">
        <v>1106</v>
      </c>
      <c r="C17" s="25" t="s">
        <v>1145</v>
      </c>
      <c r="D17" s="25" t="s">
        <v>1146</v>
      </c>
      <c r="E17" s="53">
        <v>920</v>
      </c>
      <c r="F17" s="50"/>
      <c r="G17" s="35"/>
      <c r="H17" s="35"/>
      <c r="I17" s="53"/>
      <c r="J17" s="66"/>
      <c r="K17" s="66"/>
      <c r="L17" s="66"/>
      <c r="M17" s="66"/>
      <c r="N17" s="66"/>
      <c r="O17" s="66"/>
      <c r="P17" s="67">
        <v>920</v>
      </c>
      <c r="Q17" s="66"/>
      <c r="R17" s="25"/>
      <c r="S17" s="36"/>
      <c r="T17" s="53">
        <f t="shared" si="1"/>
        <v>133568.5</v>
      </c>
      <c r="U17" s="42"/>
      <c r="V17" s="42"/>
      <c r="W17" s="42"/>
      <c r="X17" s="42"/>
      <c r="Y17" s="42"/>
    </row>
    <row r="18" ht="15.75" customHeight="1" spans="1:25" x14ac:dyDescent="0.25">
      <c r="A18" s="25"/>
      <c r="B18" s="35">
        <v>1107</v>
      </c>
      <c r="C18" s="25" t="s">
        <v>1147</v>
      </c>
      <c r="D18" s="25" t="s">
        <v>28</v>
      </c>
      <c r="E18" s="53">
        <v>2100</v>
      </c>
      <c r="F18" s="50"/>
      <c r="G18" s="35"/>
      <c r="H18" s="35"/>
      <c r="I18" s="53"/>
      <c r="J18" s="66"/>
      <c r="K18" s="66"/>
      <c r="L18" s="66">
        <v>2100</v>
      </c>
      <c r="M18" s="66"/>
      <c r="N18" s="66"/>
      <c r="O18" s="66"/>
      <c r="P18" s="66"/>
      <c r="Q18" s="66"/>
      <c r="R18" s="25"/>
      <c r="S18" s="36"/>
      <c r="T18" s="53">
        <f t="shared" si="1"/>
        <v>131468.5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1108</v>
      </c>
      <c r="C19" s="25" t="s">
        <v>170</v>
      </c>
      <c r="D19" s="25" t="s">
        <v>263</v>
      </c>
      <c r="E19" s="53">
        <v>1500</v>
      </c>
      <c r="F19" s="50"/>
      <c r="G19" s="35">
        <v>15</v>
      </c>
      <c r="H19" s="25">
        <v>100</v>
      </c>
      <c r="I19" s="53">
        <f t="shared" ref="I19:I23" si="3">G19*H19</f>
        <v>1500</v>
      </c>
      <c r="J19" s="66"/>
      <c r="K19" s="66"/>
      <c r="L19" s="66"/>
      <c r="M19" s="66"/>
      <c r="N19" s="66"/>
      <c r="O19" s="66"/>
      <c r="P19" s="66"/>
      <c r="Q19" s="66"/>
      <c r="R19" s="25"/>
      <c r="S19" s="36"/>
      <c r="T19" s="53">
        <f t="shared" si="1"/>
        <v>129968.5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1109</v>
      </c>
      <c r="C20" s="25" t="s">
        <v>170</v>
      </c>
      <c r="D20" s="25" t="s">
        <v>1148</v>
      </c>
      <c r="E20" s="53">
        <v>300</v>
      </c>
      <c r="F20" s="50"/>
      <c r="G20" s="35">
        <v>3</v>
      </c>
      <c r="H20" s="25">
        <v>100</v>
      </c>
      <c r="I20" s="53">
        <f t="shared" si="3"/>
        <v>300</v>
      </c>
      <c r="J20" s="66"/>
      <c r="K20" s="67"/>
      <c r="L20" s="66"/>
      <c r="M20" s="66"/>
      <c r="N20" s="66"/>
      <c r="O20" s="66"/>
      <c r="P20" s="66"/>
      <c r="Q20" s="66"/>
      <c r="R20" s="25"/>
      <c r="S20" s="36"/>
      <c r="T20" s="53">
        <f t="shared" si="1"/>
        <v>129668.5</v>
      </c>
      <c r="U20" s="42"/>
      <c r="V20" s="42"/>
      <c r="W20" s="42"/>
      <c r="X20" s="42"/>
      <c r="Y20" s="42"/>
    </row>
    <row r="21" ht="15.75" customHeight="1" spans="1:25" x14ac:dyDescent="0.25">
      <c r="A21" s="25" t="s">
        <v>1149</v>
      </c>
      <c r="B21" s="35">
        <v>1110</v>
      </c>
      <c r="C21" s="25" t="s">
        <v>170</v>
      </c>
      <c r="D21" s="25" t="s">
        <v>1150</v>
      </c>
      <c r="E21" s="53">
        <v>1000</v>
      </c>
      <c r="F21" s="50"/>
      <c r="G21" s="35">
        <v>10</v>
      </c>
      <c r="H21" s="25">
        <v>100</v>
      </c>
      <c r="I21" s="53">
        <f t="shared" si="3"/>
        <v>1000</v>
      </c>
      <c r="J21" s="66"/>
      <c r="K21" s="66"/>
      <c r="L21" s="66"/>
      <c r="M21" s="66"/>
      <c r="N21" s="66"/>
      <c r="O21" s="66"/>
      <c r="P21" s="66"/>
      <c r="Q21" s="66"/>
      <c r="R21" s="25"/>
      <c r="S21" s="36"/>
      <c r="T21" s="53">
        <f t="shared" si="1"/>
        <v>128668.5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1111</v>
      </c>
      <c r="C22" s="25" t="s">
        <v>170</v>
      </c>
      <c r="D22" s="25" t="s">
        <v>1151</v>
      </c>
      <c r="E22" s="53">
        <v>3600</v>
      </c>
      <c r="F22" s="50"/>
      <c r="G22" s="35">
        <v>36</v>
      </c>
      <c r="H22" s="25">
        <v>100</v>
      </c>
      <c r="I22" s="53">
        <f t="shared" si="3"/>
        <v>3600</v>
      </c>
      <c r="J22" s="66"/>
      <c r="K22" s="66"/>
      <c r="L22" s="66"/>
      <c r="M22" s="66"/>
      <c r="N22" s="66"/>
      <c r="O22" s="66"/>
      <c r="P22" s="66"/>
      <c r="Q22" s="66"/>
      <c r="R22" s="25"/>
      <c r="S22" s="36"/>
      <c r="T22" s="53">
        <f t="shared" si="1"/>
        <v>125068.5</v>
      </c>
      <c r="U22" s="42"/>
      <c r="V22" s="42"/>
      <c r="W22" s="42"/>
      <c r="X22" s="42"/>
      <c r="Y22" s="42"/>
    </row>
    <row r="23" ht="15.75" customHeight="1" spans="1:25" x14ac:dyDescent="0.25">
      <c r="A23" s="25" t="s">
        <v>1152</v>
      </c>
      <c r="B23" s="35">
        <v>1112</v>
      </c>
      <c r="C23" s="25" t="s">
        <v>170</v>
      </c>
      <c r="D23" s="25" t="s">
        <v>178</v>
      </c>
      <c r="E23" s="53">
        <v>3050</v>
      </c>
      <c r="F23" s="50"/>
      <c r="G23" s="35">
        <v>30.5</v>
      </c>
      <c r="H23" s="25">
        <v>100</v>
      </c>
      <c r="I23" s="53">
        <f t="shared" si="3"/>
        <v>3050</v>
      </c>
      <c r="J23" s="66"/>
      <c r="K23" s="67"/>
      <c r="L23" s="66"/>
      <c r="M23" s="66"/>
      <c r="N23" s="66"/>
      <c r="O23" s="66"/>
      <c r="P23" s="66"/>
      <c r="Q23" s="66"/>
      <c r="R23" s="25"/>
      <c r="S23" s="36"/>
      <c r="T23" s="53">
        <f t="shared" si="1"/>
        <v>122018.5</v>
      </c>
      <c r="U23" s="42"/>
      <c r="V23" s="42"/>
      <c r="W23" s="42"/>
      <c r="X23" s="42"/>
      <c r="Y23" s="42"/>
    </row>
    <row r="24" ht="15.75" customHeight="1" spans="1:25" x14ac:dyDescent="0.25">
      <c r="A24" s="25" t="s">
        <v>1153</v>
      </c>
      <c r="B24" s="35">
        <v>1113</v>
      </c>
      <c r="C24" s="25" t="s">
        <v>1154</v>
      </c>
      <c r="D24" s="25" t="s">
        <v>1155</v>
      </c>
      <c r="E24" s="53">
        <v>830</v>
      </c>
      <c r="F24" s="50"/>
      <c r="G24" s="25"/>
      <c r="H24" s="25"/>
      <c r="I24" s="53"/>
      <c r="J24" s="66"/>
      <c r="K24" s="67"/>
      <c r="L24" s="66"/>
      <c r="M24" s="66"/>
      <c r="N24" s="66">
        <v>830</v>
      </c>
      <c r="O24" s="66"/>
      <c r="P24" s="66"/>
      <c r="Q24" s="66"/>
      <c r="R24" s="25"/>
      <c r="S24" s="36"/>
      <c r="T24" s="53">
        <f t="shared" si="1"/>
        <v>121188.5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1114</v>
      </c>
      <c r="C25" s="25" t="s">
        <v>13</v>
      </c>
      <c r="D25" s="23" t="s">
        <v>52</v>
      </c>
      <c r="E25" s="54">
        <v>2500</v>
      </c>
      <c r="F25" s="50"/>
      <c r="G25" s="25"/>
      <c r="H25" s="25"/>
      <c r="I25" s="53"/>
      <c r="J25" s="66"/>
      <c r="K25" s="67"/>
      <c r="L25" s="66"/>
      <c r="M25" s="66"/>
      <c r="N25" s="66"/>
      <c r="O25" s="66"/>
      <c r="P25" s="66"/>
      <c r="Q25" s="66">
        <v>2500</v>
      </c>
      <c r="R25" s="25"/>
      <c r="S25" s="36"/>
      <c r="T25" s="53">
        <f t="shared" si="1"/>
        <v>118688.5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1115</v>
      </c>
      <c r="C26" s="25" t="s">
        <v>1110</v>
      </c>
      <c r="D26" s="25" t="s">
        <v>1156</v>
      </c>
      <c r="E26" s="54">
        <v>280</v>
      </c>
      <c r="F26" s="50"/>
      <c r="G26" s="35">
        <v>2.8</v>
      </c>
      <c r="H26" s="35">
        <v>100</v>
      </c>
      <c r="I26" s="53">
        <v>280</v>
      </c>
      <c r="J26" s="66"/>
      <c r="K26" s="67"/>
      <c r="L26" s="66"/>
      <c r="M26" s="66"/>
      <c r="N26" s="66"/>
      <c r="O26" s="66"/>
      <c r="P26" s="66"/>
      <c r="Q26" s="66"/>
      <c r="R26" s="25"/>
      <c r="S26" s="36"/>
      <c r="T26" s="53">
        <f t="shared" si="1"/>
        <v>118408.5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1116</v>
      </c>
      <c r="C27" s="25" t="s">
        <v>48</v>
      </c>
      <c r="D27" s="25" t="s">
        <v>279</v>
      </c>
      <c r="E27" s="53">
        <v>480</v>
      </c>
      <c r="F27" s="50"/>
      <c r="G27" s="25"/>
      <c r="H27" s="25"/>
      <c r="I27" s="53"/>
      <c r="J27" s="66"/>
      <c r="K27" s="67"/>
      <c r="L27" s="66"/>
      <c r="M27" s="66"/>
      <c r="N27" s="66"/>
      <c r="O27" s="66">
        <v>480</v>
      </c>
      <c r="P27" s="66"/>
      <c r="Q27" s="66"/>
      <c r="R27" s="25"/>
      <c r="S27" s="36"/>
      <c r="T27" s="53">
        <f t="shared" si="1"/>
        <v>117928.5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1117</v>
      </c>
      <c r="C28" s="25" t="s">
        <v>1157</v>
      </c>
      <c r="D28" s="25" t="s">
        <v>1158</v>
      </c>
      <c r="E28" s="53">
        <v>462</v>
      </c>
      <c r="F28" s="50"/>
      <c r="G28" s="25"/>
      <c r="H28" s="25"/>
      <c r="I28" s="53"/>
      <c r="J28" s="66"/>
      <c r="K28" s="67"/>
      <c r="L28" s="66"/>
      <c r="M28" s="66"/>
      <c r="N28" s="66"/>
      <c r="O28" s="66"/>
      <c r="P28" s="66">
        <v>462</v>
      </c>
      <c r="Q28" s="66"/>
      <c r="R28" s="25"/>
      <c r="S28" s="36"/>
      <c r="T28" s="53">
        <f t="shared" si="1"/>
        <v>117466.5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1118</v>
      </c>
      <c r="C29" s="25" t="s">
        <v>1159</v>
      </c>
      <c r="D29" s="23" t="s">
        <v>279</v>
      </c>
      <c r="E29" s="54">
        <v>270</v>
      </c>
      <c r="F29" s="50"/>
      <c r="G29" s="25"/>
      <c r="H29" s="25"/>
      <c r="I29" s="53"/>
      <c r="J29" s="66"/>
      <c r="K29" s="67"/>
      <c r="L29" s="66"/>
      <c r="M29" s="66"/>
      <c r="N29" s="66"/>
      <c r="O29" s="66"/>
      <c r="P29" s="66">
        <v>270</v>
      </c>
      <c r="Q29" s="66"/>
      <c r="R29" s="25"/>
      <c r="S29" s="36"/>
      <c r="T29" s="53">
        <f t="shared" si="1"/>
        <v>117196.5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1119</v>
      </c>
      <c r="C30" s="25" t="s">
        <v>1160</v>
      </c>
      <c r="D30" s="23" t="s">
        <v>1161</v>
      </c>
      <c r="E30" s="54">
        <v>450</v>
      </c>
      <c r="F30" s="50"/>
      <c r="G30" s="25"/>
      <c r="H30" s="25"/>
      <c r="I30" s="53"/>
      <c r="J30" s="66"/>
      <c r="K30" s="66"/>
      <c r="L30" s="66"/>
      <c r="M30" s="66"/>
      <c r="N30" s="66"/>
      <c r="O30" s="66"/>
      <c r="P30" s="66">
        <v>450</v>
      </c>
      <c r="Q30" s="66"/>
      <c r="R30" s="25"/>
      <c r="S30" s="36"/>
      <c r="T30" s="53">
        <f t="shared" si="1"/>
        <v>116746.5</v>
      </c>
      <c r="U30" s="42"/>
      <c r="V30" s="42"/>
      <c r="W30" s="42"/>
      <c r="X30" s="42"/>
      <c r="Y30" s="42"/>
    </row>
    <row r="31" ht="15.75" customHeight="1" spans="1:25" x14ac:dyDescent="0.25">
      <c r="A31" s="25"/>
      <c r="B31" s="35">
        <v>1120</v>
      </c>
      <c r="C31" s="25" t="s">
        <v>1162</v>
      </c>
      <c r="D31" s="25" t="s">
        <v>1163</v>
      </c>
      <c r="E31" s="53">
        <v>3950</v>
      </c>
      <c r="F31" s="50"/>
      <c r="G31" s="25"/>
      <c r="H31" s="25"/>
      <c r="I31" s="53"/>
      <c r="J31" s="66"/>
      <c r="K31" s="66"/>
      <c r="L31" s="66"/>
      <c r="M31" s="66"/>
      <c r="N31" s="66"/>
      <c r="O31" s="66"/>
      <c r="P31" s="66">
        <v>3950</v>
      </c>
      <c r="Q31" s="66"/>
      <c r="R31" s="25"/>
      <c r="S31" s="36"/>
      <c r="T31" s="53">
        <f t="shared" si="1"/>
        <v>112796.5</v>
      </c>
      <c r="U31" s="42"/>
      <c r="V31" s="42"/>
      <c r="W31" s="42"/>
      <c r="X31" s="42"/>
      <c r="Y31" s="42"/>
    </row>
    <row r="32" ht="15.75" customHeight="1" spans="1:25" x14ac:dyDescent="0.25">
      <c r="A32" s="25" t="s">
        <v>1164</v>
      </c>
      <c r="B32" s="35">
        <v>1121</v>
      </c>
      <c r="C32" s="25" t="s">
        <v>1165</v>
      </c>
      <c r="D32" s="25" t="s">
        <v>119</v>
      </c>
      <c r="E32" s="53">
        <v>500</v>
      </c>
      <c r="F32" s="50"/>
      <c r="G32" s="35"/>
      <c r="H32" s="35"/>
      <c r="I32" s="53"/>
      <c r="J32" s="66"/>
      <c r="K32" s="66"/>
      <c r="L32" s="66"/>
      <c r="M32" s="66">
        <v>500</v>
      </c>
      <c r="N32" s="66"/>
      <c r="O32" s="66"/>
      <c r="P32" s="66"/>
      <c r="Q32" s="66"/>
      <c r="R32" s="25"/>
      <c r="S32" s="36"/>
      <c r="T32" s="53">
        <f t="shared" si="1"/>
        <v>112296.5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1122</v>
      </c>
      <c r="C33" s="25" t="s">
        <v>170</v>
      </c>
      <c r="D33" s="23" t="s">
        <v>263</v>
      </c>
      <c r="E33" s="53">
        <v>5700</v>
      </c>
      <c r="F33" s="50"/>
      <c r="G33" s="35">
        <v>59</v>
      </c>
      <c r="H33" s="35">
        <v>100</v>
      </c>
      <c r="I33" s="53">
        <v>5900</v>
      </c>
      <c r="J33" s="66"/>
      <c r="K33" s="66"/>
      <c r="L33" s="66"/>
      <c r="M33" s="66"/>
      <c r="N33" s="66"/>
      <c r="O33" s="66"/>
      <c r="P33" s="66"/>
      <c r="Q33" s="67"/>
      <c r="R33" s="25"/>
      <c r="S33" s="36"/>
      <c r="T33" s="53">
        <f t="shared" si="1"/>
        <v>106596.5</v>
      </c>
      <c r="U33" s="42"/>
      <c r="V33" s="42"/>
      <c r="W33" s="42"/>
      <c r="X33" s="42"/>
      <c r="Y33" s="42"/>
    </row>
    <row r="34" ht="15.75" customHeight="1" spans="1:25" x14ac:dyDescent="0.25">
      <c r="A34" s="25"/>
      <c r="B34" s="35">
        <v>1123</v>
      </c>
      <c r="C34" s="25" t="s">
        <v>170</v>
      </c>
      <c r="D34" s="25" t="s">
        <v>420</v>
      </c>
      <c r="E34" s="53">
        <v>1900</v>
      </c>
      <c r="F34" s="50"/>
      <c r="G34" s="35">
        <v>19</v>
      </c>
      <c r="H34" s="25">
        <v>100</v>
      </c>
      <c r="I34" s="53">
        <v>1900</v>
      </c>
      <c r="J34" s="66"/>
      <c r="K34" s="66"/>
      <c r="L34" s="66"/>
      <c r="M34" s="66"/>
      <c r="N34" s="66"/>
      <c r="O34" s="66"/>
      <c r="P34" s="67"/>
      <c r="Q34" s="66"/>
      <c r="R34" s="25"/>
      <c r="S34" s="36"/>
      <c r="T34" s="53">
        <f t="shared" si="1"/>
        <v>104696.5</v>
      </c>
      <c r="U34" s="42"/>
      <c r="V34" s="42"/>
      <c r="W34" s="42"/>
      <c r="X34" s="42"/>
      <c r="Y34" s="42"/>
    </row>
    <row r="35" ht="15.75" customHeight="1" spans="1:25" x14ac:dyDescent="0.25">
      <c r="A35" s="25" t="s">
        <v>1166</v>
      </c>
      <c r="B35" s="35">
        <v>1124</v>
      </c>
      <c r="C35" s="25" t="s">
        <v>1167</v>
      </c>
      <c r="D35" s="25" t="s">
        <v>176</v>
      </c>
      <c r="E35" s="53">
        <v>200</v>
      </c>
      <c r="F35" s="50"/>
      <c r="G35" s="25"/>
      <c r="H35" s="25"/>
      <c r="I35" s="53"/>
      <c r="J35" s="66"/>
      <c r="K35" s="66"/>
      <c r="L35" s="66"/>
      <c r="M35" s="66"/>
      <c r="N35" s="66">
        <v>200</v>
      </c>
      <c r="O35" s="66"/>
      <c r="P35" s="66"/>
      <c r="Q35" s="66"/>
      <c r="R35" s="25"/>
      <c r="S35" s="36"/>
      <c r="T35" s="53">
        <f t="shared" si="1"/>
        <v>104496.5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1125</v>
      </c>
      <c r="C36" s="25" t="s">
        <v>1168</v>
      </c>
      <c r="D36" s="23" t="s">
        <v>28</v>
      </c>
      <c r="E36" s="54">
        <v>130</v>
      </c>
      <c r="F36" s="50"/>
      <c r="G36" s="25"/>
      <c r="H36" s="35"/>
      <c r="I36" s="53"/>
      <c r="J36" s="66"/>
      <c r="K36" s="66"/>
      <c r="L36" s="66"/>
      <c r="M36" s="66"/>
      <c r="N36" s="66">
        <v>130</v>
      </c>
      <c r="O36" s="66"/>
      <c r="P36" s="66"/>
      <c r="Q36" s="66"/>
      <c r="R36" s="25"/>
      <c r="S36" s="36"/>
      <c r="T36" s="53">
        <f t="shared" si="1"/>
        <v>104366.5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1126</v>
      </c>
      <c r="C37" s="25" t="s">
        <v>170</v>
      </c>
      <c r="D37" s="23" t="s">
        <v>618</v>
      </c>
      <c r="E37" s="54">
        <v>3400</v>
      </c>
      <c r="F37" s="50"/>
      <c r="G37" s="35">
        <v>34</v>
      </c>
      <c r="H37" s="35">
        <v>100</v>
      </c>
      <c r="I37" s="53">
        <v>3400</v>
      </c>
      <c r="J37" s="66"/>
      <c r="K37" s="66"/>
      <c r="L37" s="66"/>
      <c r="M37" s="66"/>
      <c r="N37" s="66"/>
      <c r="O37" s="66"/>
      <c r="P37" s="66"/>
      <c r="Q37" s="66"/>
      <c r="R37" s="25"/>
      <c r="S37" s="36"/>
      <c r="T37" s="53">
        <f t="shared" si="1"/>
        <v>100966.5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1127</v>
      </c>
      <c r="C38" s="25" t="s">
        <v>170</v>
      </c>
      <c r="D38" s="23" t="s">
        <v>54</v>
      </c>
      <c r="E38" s="80">
        <v>2900</v>
      </c>
      <c r="F38" s="50"/>
      <c r="G38" s="35">
        <v>29</v>
      </c>
      <c r="H38" s="35">
        <v>100</v>
      </c>
      <c r="I38" s="53">
        <v>2900</v>
      </c>
      <c r="J38" s="66"/>
      <c r="K38" s="66"/>
      <c r="L38" s="66"/>
      <c r="M38" s="66"/>
      <c r="N38" s="66"/>
      <c r="O38" s="66"/>
      <c r="P38" s="66"/>
      <c r="Q38" s="66"/>
      <c r="R38" s="25"/>
      <c r="S38" s="36"/>
      <c r="T38" s="53">
        <f t="shared" si="1"/>
        <v>98066.5</v>
      </c>
      <c r="U38" s="42"/>
      <c r="V38" s="42"/>
      <c r="W38" s="42"/>
      <c r="X38" s="42"/>
      <c r="Y38" s="42"/>
    </row>
    <row r="39" ht="15.75" customHeight="1" spans="1:25" x14ac:dyDescent="0.25">
      <c r="A39" s="25" t="s">
        <v>1169</v>
      </c>
      <c r="B39" s="35">
        <v>1128</v>
      </c>
      <c r="C39" s="25" t="s">
        <v>1170</v>
      </c>
      <c r="D39" s="25" t="s">
        <v>1171</v>
      </c>
      <c r="E39" s="53">
        <v>500</v>
      </c>
      <c r="F39" s="50"/>
      <c r="G39" s="25"/>
      <c r="H39" s="35"/>
      <c r="I39" s="53"/>
      <c r="J39" s="66"/>
      <c r="K39" s="66">
        <v>500</v>
      </c>
      <c r="L39" s="66"/>
      <c r="M39" s="66"/>
      <c r="N39" s="66"/>
      <c r="O39" s="66"/>
      <c r="P39" s="66"/>
      <c r="Q39" s="66"/>
      <c r="R39" s="25"/>
      <c r="S39" s="36"/>
      <c r="T39" s="53">
        <f t="shared" si="1"/>
        <v>97566.5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1129</v>
      </c>
      <c r="C40" s="25" t="s">
        <v>1172</v>
      </c>
      <c r="D40" s="25" t="s">
        <v>138</v>
      </c>
      <c r="E40" s="53">
        <v>1000</v>
      </c>
      <c r="F40" s="50"/>
      <c r="G40" s="35"/>
      <c r="H40" s="35"/>
      <c r="I40" s="53"/>
      <c r="J40" s="66"/>
      <c r="K40" s="66"/>
      <c r="L40" s="66"/>
      <c r="M40" s="66"/>
      <c r="N40" s="66"/>
      <c r="O40" s="66"/>
      <c r="P40" s="67"/>
      <c r="Q40" s="66"/>
      <c r="R40" s="25">
        <v>1000</v>
      </c>
      <c r="S40" s="36"/>
      <c r="T40" s="53">
        <f t="shared" si="1"/>
        <v>96566.5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1130</v>
      </c>
      <c r="C41" s="25" t="s">
        <v>1173</v>
      </c>
      <c r="D41" s="25" t="s">
        <v>1174</v>
      </c>
      <c r="E41" s="53">
        <v>2180</v>
      </c>
      <c r="F41" s="50"/>
      <c r="G41" s="35"/>
      <c r="H41" s="35"/>
      <c r="I41" s="53"/>
      <c r="J41" s="66"/>
      <c r="K41" s="66"/>
      <c r="L41" s="66"/>
      <c r="M41" s="67"/>
      <c r="N41" s="66"/>
      <c r="O41" s="66"/>
      <c r="P41" s="66">
        <v>2180</v>
      </c>
      <c r="Q41" s="66"/>
      <c r="R41" s="25"/>
      <c r="S41" s="36"/>
      <c r="T41" s="53">
        <f t="shared" si="1"/>
        <v>94386.5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1131</v>
      </c>
      <c r="C42" s="25" t="s">
        <v>1175</v>
      </c>
      <c r="D42" s="25" t="s">
        <v>1176</v>
      </c>
      <c r="E42" s="53">
        <v>1170</v>
      </c>
      <c r="F42" s="50"/>
      <c r="G42" s="35"/>
      <c r="H42" s="35"/>
      <c r="I42" s="53"/>
      <c r="J42" s="66"/>
      <c r="K42" s="66"/>
      <c r="L42" s="66"/>
      <c r="M42" s="66"/>
      <c r="N42" s="66"/>
      <c r="O42" s="66"/>
      <c r="P42" s="66">
        <v>1170</v>
      </c>
      <c r="Q42" s="66"/>
      <c r="R42" s="25"/>
      <c r="S42" s="36"/>
      <c r="T42" s="53">
        <f t="shared" si="1"/>
        <v>93216.5</v>
      </c>
      <c r="U42" s="42"/>
      <c r="V42" s="42"/>
      <c r="W42" s="42"/>
      <c r="X42" s="42"/>
      <c r="Y42" s="42"/>
    </row>
    <row r="43" ht="15.75" customHeight="1" spans="1:25" x14ac:dyDescent="0.25">
      <c r="A43" s="25"/>
      <c r="B43" s="35">
        <v>1132</v>
      </c>
      <c r="C43" s="25" t="s">
        <v>1177</v>
      </c>
      <c r="D43" s="25" t="s">
        <v>279</v>
      </c>
      <c r="E43" s="53">
        <v>1130</v>
      </c>
      <c r="F43" s="50"/>
      <c r="G43" s="35"/>
      <c r="H43" s="25"/>
      <c r="I43" s="65"/>
      <c r="J43" s="66"/>
      <c r="K43" s="66"/>
      <c r="L43" s="66"/>
      <c r="M43" s="66"/>
      <c r="N43" s="66"/>
      <c r="O43" s="66">
        <v>1130</v>
      </c>
      <c r="P43" s="66"/>
      <c r="Q43" s="66"/>
      <c r="R43" s="25"/>
      <c r="S43" s="36"/>
      <c r="T43" s="53">
        <f t="shared" si="1"/>
        <v>92086.5</v>
      </c>
      <c r="U43" s="42"/>
      <c r="V43" s="42"/>
      <c r="W43" s="42"/>
      <c r="X43" s="42"/>
      <c r="Y43" s="42"/>
    </row>
    <row r="44" ht="15.75" customHeight="1" spans="1:25" x14ac:dyDescent="0.25">
      <c r="A44" s="25"/>
      <c r="B44" s="35">
        <v>1133</v>
      </c>
      <c r="C44" s="25" t="s">
        <v>1178</v>
      </c>
      <c r="D44" s="25" t="s">
        <v>119</v>
      </c>
      <c r="E44" s="53">
        <v>1000</v>
      </c>
      <c r="F44" s="50"/>
      <c r="G44" s="25"/>
      <c r="H44" s="25"/>
      <c r="I44" s="65"/>
      <c r="J44" s="66"/>
      <c r="K44" s="66"/>
      <c r="L44" s="66"/>
      <c r="M44" s="66">
        <v>1000</v>
      </c>
      <c r="N44" s="66"/>
      <c r="O44" s="66"/>
      <c r="P44" s="66"/>
      <c r="Q44" s="66"/>
      <c r="R44" s="25"/>
      <c r="S44" s="36"/>
      <c r="T44" s="53">
        <f t="shared" si="1"/>
        <v>91086.5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1134</v>
      </c>
      <c r="C45" s="25" t="s">
        <v>170</v>
      </c>
      <c r="D45" s="25" t="s">
        <v>618</v>
      </c>
      <c r="E45" s="53">
        <v>16300</v>
      </c>
      <c r="F45" s="50"/>
      <c r="G45" s="35">
        <v>163</v>
      </c>
      <c r="H45" s="35">
        <v>100</v>
      </c>
      <c r="I45" s="53">
        <v>16300</v>
      </c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si="1"/>
        <v>74786.5</v>
      </c>
      <c r="U45" s="42"/>
      <c r="V45" s="42"/>
      <c r="W45" s="42"/>
      <c r="X45" s="42"/>
      <c r="Y45" s="42"/>
    </row>
    <row r="46" ht="15.75" customHeight="1" spans="1:25" x14ac:dyDescent="0.25">
      <c r="A46" s="25" t="s">
        <v>1179</v>
      </c>
      <c r="B46" s="35">
        <v>1135</v>
      </c>
      <c r="C46" s="25" t="s">
        <v>170</v>
      </c>
      <c r="D46" s="25" t="s">
        <v>52</v>
      </c>
      <c r="E46" s="53">
        <v>3100</v>
      </c>
      <c r="F46" s="50"/>
      <c r="G46" s="35">
        <v>31</v>
      </c>
      <c r="H46" s="35">
        <v>100</v>
      </c>
      <c r="I46" s="53">
        <v>3100</v>
      </c>
      <c r="J46" s="66"/>
      <c r="L46" s="66"/>
      <c r="M46" s="66"/>
      <c r="N46" s="66"/>
      <c r="O46" s="66"/>
      <c r="P46" s="66"/>
      <c r="Q46" s="66"/>
      <c r="R46" s="25"/>
      <c r="S46" s="36"/>
      <c r="T46" s="53">
        <f t="shared" si="1"/>
        <v>71686.5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1136</v>
      </c>
      <c r="C47" s="25" t="s">
        <v>1180</v>
      </c>
      <c r="D47" s="25" t="s">
        <v>618</v>
      </c>
      <c r="E47" s="53">
        <v>6100</v>
      </c>
      <c r="F47" s="50"/>
      <c r="G47" s="35">
        <v>61</v>
      </c>
      <c r="H47" s="35">
        <v>100</v>
      </c>
      <c r="I47" s="65">
        <v>6100</v>
      </c>
      <c r="J47" s="66"/>
      <c r="K47" s="66"/>
      <c r="L47" s="66"/>
      <c r="M47" s="66"/>
      <c r="N47" s="66"/>
      <c r="O47" s="66"/>
      <c r="P47" s="66"/>
      <c r="Q47" s="66"/>
      <c r="R47" s="25"/>
      <c r="S47" s="36"/>
      <c r="T47" s="53">
        <f t="shared" si="1"/>
        <v>65586.5</v>
      </c>
      <c r="U47" s="42"/>
      <c r="V47" s="42"/>
      <c r="W47" s="42"/>
      <c r="X47" s="42"/>
      <c r="Y47" s="42"/>
    </row>
    <row r="48" ht="15.75" customHeight="1" spans="1:25" x14ac:dyDescent="0.25">
      <c r="A48" s="25"/>
      <c r="B48" s="35">
        <v>1137</v>
      </c>
      <c r="C48" s="23" t="s">
        <v>559</v>
      </c>
      <c r="D48" s="25" t="s">
        <v>618</v>
      </c>
      <c r="E48" s="53">
        <v>4200</v>
      </c>
      <c r="F48" s="50"/>
      <c r="G48" s="35">
        <v>42</v>
      </c>
      <c r="H48" s="35">
        <v>100</v>
      </c>
      <c r="I48" s="65">
        <v>4200</v>
      </c>
      <c r="J48" s="66"/>
      <c r="K48" s="66"/>
      <c r="L48" s="66"/>
      <c r="M48" s="66"/>
      <c r="N48" s="66"/>
      <c r="O48" s="66"/>
      <c r="P48" s="66"/>
      <c r="Q48" s="66"/>
      <c r="R48" s="25"/>
      <c r="S48" s="36"/>
      <c r="T48" s="53">
        <f t="shared" si="1"/>
        <v>61386.5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1138</v>
      </c>
      <c r="C49" s="25" t="s">
        <v>170</v>
      </c>
      <c r="D49" s="25" t="s">
        <v>54</v>
      </c>
      <c r="E49" s="53">
        <v>2600</v>
      </c>
      <c r="F49" s="50"/>
      <c r="G49" s="35">
        <v>26</v>
      </c>
      <c r="H49" s="35">
        <v>100</v>
      </c>
      <c r="I49" s="65">
        <v>2600</v>
      </c>
      <c r="J49" s="66"/>
      <c r="K49" s="66"/>
      <c r="L49" s="66"/>
      <c r="M49" s="66"/>
      <c r="N49" s="66"/>
      <c r="O49" s="66"/>
      <c r="P49" s="66"/>
      <c r="Q49" s="66"/>
      <c r="R49" s="25"/>
      <c r="S49" s="36"/>
      <c r="T49" s="53">
        <f t="shared" si="1"/>
        <v>58786.5</v>
      </c>
      <c r="U49" s="42"/>
      <c r="V49" s="42"/>
      <c r="W49" s="42"/>
      <c r="X49" s="42"/>
      <c r="Y49" s="42"/>
    </row>
    <row r="50" ht="15.75" customHeight="1" spans="1:25" x14ac:dyDescent="0.25">
      <c r="A50" s="25" t="s">
        <v>1181</v>
      </c>
      <c r="B50" s="35">
        <v>1139</v>
      </c>
      <c r="C50" s="25" t="s">
        <v>1182</v>
      </c>
      <c r="D50" s="25" t="s">
        <v>564</v>
      </c>
      <c r="E50" s="53">
        <v>1250</v>
      </c>
      <c r="F50" s="50"/>
      <c r="G50" s="25"/>
      <c r="H50" s="25"/>
      <c r="I50" s="65"/>
      <c r="J50" s="66"/>
      <c r="K50" s="66"/>
      <c r="L50" s="66"/>
      <c r="M50" s="66"/>
      <c r="N50" s="66"/>
      <c r="O50" s="66">
        <v>1250</v>
      </c>
      <c r="P50" s="66"/>
      <c r="Q50" s="66"/>
      <c r="R50" s="25"/>
      <c r="S50" s="36"/>
      <c r="T50" s="53">
        <f t="shared" si="1"/>
        <v>57536.5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1140</v>
      </c>
      <c r="C51" s="25" t="s">
        <v>1183</v>
      </c>
      <c r="D51" s="25" t="s">
        <v>295</v>
      </c>
      <c r="E51" s="53">
        <v>4420</v>
      </c>
      <c r="F51" s="50"/>
      <c r="G51" s="25"/>
      <c r="H51" s="25"/>
      <c r="I51" s="65"/>
      <c r="J51" s="66"/>
      <c r="K51" s="66"/>
      <c r="L51" s="66"/>
      <c r="M51" s="66"/>
      <c r="N51" s="66"/>
      <c r="O51" s="66"/>
      <c r="P51" s="66"/>
      <c r="Q51" s="66"/>
      <c r="R51" s="25">
        <v>4420</v>
      </c>
      <c r="S51" s="36"/>
      <c r="T51" s="53">
        <f t="shared" si="1"/>
        <v>53116.5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1141</v>
      </c>
      <c r="C52" s="25" t="s">
        <v>1184</v>
      </c>
      <c r="D52" s="25" t="s">
        <v>176</v>
      </c>
      <c r="E52" s="53">
        <v>510</v>
      </c>
      <c r="F52" s="50"/>
      <c r="G52" s="25"/>
      <c r="H52" s="25"/>
      <c r="I52" s="65"/>
      <c r="J52" s="66"/>
      <c r="K52" s="66"/>
      <c r="L52" s="66"/>
      <c r="M52" s="66"/>
      <c r="N52" s="66">
        <v>510</v>
      </c>
      <c r="O52" s="66"/>
      <c r="P52" s="66"/>
      <c r="Q52" s="66"/>
      <c r="R52" s="25"/>
      <c r="S52" s="36"/>
      <c r="T52" s="53">
        <f t="shared" si="1"/>
        <v>52606.5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1142</v>
      </c>
      <c r="C53" s="25" t="s">
        <v>170</v>
      </c>
      <c r="D53" s="25" t="s">
        <v>1185</v>
      </c>
      <c r="E53" s="53">
        <v>1700</v>
      </c>
      <c r="F53" s="50"/>
      <c r="G53" s="35">
        <v>17</v>
      </c>
      <c r="H53" s="35">
        <v>100</v>
      </c>
      <c r="I53" s="65">
        <v>1700</v>
      </c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 t="shared" si="1"/>
        <v>50906.5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1143</v>
      </c>
      <c r="C54" s="25" t="s">
        <v>170</v>
      </c>
      <c r="D54" s="25" t="s">
        <v>52</v>
      </c>
      <c r="E54" s="53">
        <v>1800</v>
      </c>
      <c r="F54" s="50"/>
      <c r="G54" s="35">
        <v>18</v>
      </c>
      <c r="H54" s="35">
        <v>100</v>
      </c>
      <c r="I54" s="65">
        <v>1800</v>
      </c>
      <c r="J54" s="66"/>
      <c r="K54" s="66"/>
      <c r="L54" s="66"/>
      <c r="M54" s="66"/>
      <c r="N54" s="66"/>
      <c r="O54" s="66"/>
      <c r="P54" s="66"/>
      <c r="Q54" s="66"/>
      <c r="R54" s="25"/>
      <c r="S54" s="36"/>
      <c r="T54" s="53">
        <f t="shared" si="1"/>
        <v>49106.5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1144</v>
      </c>
      <c r="C55" s="25" t="s">
        <v>250</v>
      </c>
      <c r="D55" s="25" t="s">
        <v>52</v>
      </c>
      <c r="E55" s="53">
        <v>1300</v>
      </c>
      <c r="F55" s="50"/>
      <c r="G55" s="35">
        <v>13</v>
      </c>
      <c r="H55" s="35">
        <v>100</v>
      </c>
      <c r="I55" s="65">
        <v>1300</v>
      </c>
      <c r="J55" s="66"/>
      <c r="K55" s="66"/>
      <c r="L55" s="66"/>
      <c r="M55" s="66"/>
      <c r="N55" s="66"/>
      <c r="O55" s="66"/>
      <c r="P55" s="66"/>
      <c r="Q55" s="66"/>
      <c r="R55" s="25"/>
      <c r="S55" s="36"/>
      <c r="T55" s="53">
        <f t="shared" si="1"/>
        <v>47806.5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1145</v>
      </c>
      <c r="C56" s="25" t="s">
        <v>170</v>
      </c>
      <c r="D56" s="23" t="s">
        <v>54</v>
      </c>
      <c r="E56" s="53">
        <v>5400</v>
      </c>
      <c r="F56" s="50"/>
      <c r="G56" s="35">
        <v>45</v>
      </c>
      <c r="H56" s="35">
        <v>120</v>
      </c>
      <c r="I56" s="53">
        <v>5400</v>
      </c>
      <c r="J56" s="66"/>
      <c r="K56" s="66"/>
      <c r="L56" s="66"/>
      <c r="M56" s="66"/>
      <c r="N56" s="66"/>
      <c r="O56" s="66"/>
      <c r="P56" s="66"/>
      <c r="Q56" s="66"/>
      <c r="R56" s="25"/>
      <c r="S56" s="36"/>
      <c r="T56" s="53">
        <f t="shared" si="1"/>
        <v>42406.5</v>
      </c>
      <c r="U56" s="42"/>
      <c r="V56" s="42"/>
      <c r="W56" s="42"/>
      <c r="X56" s="42"/>
      <c r="Y56" s="42"/>
    </row>
    <row r="57" ht="15.75" customHeight="1" spans="1:25" x14ac:dyDescent="0.25">
      <c r="A57" s="25"/>
      <c r="B57" s="35">
        <v>1146</v>
      </c>
      <c r="C57" s="25" t="s">
        <v>1186</v>
      </c>
      <c r="D57" s="25" t="s">
        <v>54</v>
      </c>
      <c r="E57" s="53">
        <v>7000</v>
      </c>
      <c r="F57" s="50"/>
      <c r="G57" s="35">
        <v>70</v>
      </c>
      <c r="H57" s="35">
        <v>100</v>
      </c>
      <c r="I57" s="65">
        <v>7000</v>
      </c>
      <c r="J57" s="66"/>
      <c r="K57" s="66"/>
      <c r="L57" s="66"/>
      <c r="M57" s="66"/>
      <c r="N57" s="66"/>
      <c r="O57" s="66"/>
      <c r="P57" s="66"/>
      <c r="Q57" s="66"/>
      <c r="R57" s="25"/>
      <c r="S57" s="36"/>
      <c r="T57" s="53">
        <f t="shared" si="1"/>
        <v>35406.5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1147</v>
      </c>
      <c r="C58" s="25" t="s">
        <v>1186</v>
      </c>
      <c r="D58" s="25" t="s">
        <v>618</v>
      </c>
      <c r="E58" s="53">
        <v>17500</v>
      </c>
      <c r="F58" s="50"/>
      <c r="G58" s="35">
        <v>175</v>
      </c>
      <c r="H58" s="35">
        <v>100</v>
      </c>
      <c r="I58" s="65">
        <v>17500</v>
      </c>
      <c r="J58" s="66"/>
      <c r="K58" s="66"/>
      <c r="L58" s="66"/>
      <c r="M58" s="66"/>
      <c r="N58" s="66"/>
      <c r="O58" s="66"/>
      <c r="P58" s="66"/>
      <c r="Q58" s="66"/>
      <c r="R58" s="25"/>
      <c r="S58" s="36"/>
      <c r="T58" s="53">
        <f t="shared" si="1"/>
        <v>17906.5</v>
      </c>
      <c r="U58" s="42"/>
      <c r="V58" s="42"/>
      <c r="W58" s="42"/>
      <c r="X58" s="42"/>
      <c r="Y58" s="42"/>
    </row>
    <row r="59" ht="15.75" customHeight="1" spans="1:25" x14ac:dyDescent="0.25">
      <c r="A59" s="25" t="s">
        <v>1187</v>
      </c>
      <c r="B59" s="35">
        <v>1148</v>
      </c>
      <c r="C59" s="25" t="s">
        <v>1186</v>
      </c>
      <c r="D59" s="25" t="s">
        <v>1185</v>
      </c>
      <c r="E59" s="53">
        <v>2600</v>
      </c>
      <c r="F59" s="50"/>
      <c r="G59" s="35">
        <v>26</v>
      </c>
      <c r="H59" s="35">
        <v>100</v>
      </c>
      <c r="I59" s="65">
        <v>2600</v>
      </c>
      <c r="J59" s="66"/>
      <c r="K59" s="66"/>
      <c r="L59" s="66"/>
      <c r="M59" s="67"/>
      <c r="N59" s="66"/>
      <c r="O59" s="66"/>
      <c r="P59" s="66"/>
      <c r="Q59" s="66"/>
      <c r="R59" s="25"/>
      <c r="S59" s="36"/>
      <c r="T59" s="53">
        <f t="shared" si="1"/>
        <v>15306.5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1149</v>
      </c>
      <c r="C60" s="25" t="s">
        <v>13</v>
      </c>
      <c r="D60" s="25" t="s">
        <v>636</v>
      </c>
      <c r="E60" s="53">
        <v>6000</v>
      </c>
      <c r="F60" s="50"/>
      <c r="G60" s="35"/>
      <c r="H60" s="53"/>
      <c r="I60" s="65"/>
      <c r="J60" s="66"/>
      <c r="K60" s="66"/>
      <c r="L60" s="66"/>
      <c r="M60" s="66"/>
      <c r="N60" s="66"/>
      <c r="O60" s="66"/>
      <c r="P60" s="67"/>
      <c r="Q60" s="66">
        <v>6000</v>
      </c>
      <c r="R60" s="25"/>
      <c r="S60" s="36"/>
      <c r="T60" s="53">
        <f t="shared" si="1"/>
        <v>9306.5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1150</v>
      </c>
      <c r="C61" s="25" t="s">
        <v>384</v>
      </c>
      <c r="D61" s="25" t="s">
        <v>28</v>
      </c>
      <c r="E61" s="53">
        <v>400</v>
      </c>
      <c r="F61" s="50"/>
      <c r="G61" s="35"/>
      <c r="H61" s="35"/>
      <c r="I61" s="65"/>
      <c r="J61" s="66"/>
      <c r="K61" s="66"/>
      <c r="L61" s="66"/>
      <c r="M61" s="66"/>
      <c r="N61" s="66"/>
      <c r="O61" s="66"/>
      <c r="P61" s="66">
        <v>400</v>
      </c>
      <c r="Q61" s="66"/>
      <c r="R61" s="25"/>
      <c r="S61" s="36"/>
      <c r="T61" s="53">
        <f t="shared" si="1"/>
        <v>8906.5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1151</v>
      </c>
      <c r="C62" s="25" t="s">
        <v>300</v>
      </c>
      <c r="D62" s="25" t="s">
        <v>1074</v>
      </c>
      <c r="E62" s="53">
        <v>2000</v>
      </c>
      <c r="F62" s="50"/>
      <c r="G62" s="35"/>
      <c r="H62" s="25"/>
      <c r="I62" s="65"/>
      <c r="J62" s="66"/>
      <c r="K62" s="66">
        <v>2000</v>
      </c>
      <c r="L62" s="66"/>
      <c r="M62" s="66"/>
      <c r="N62" s="66"/>
      <c r="O62" s="66"/>
      <c r="P62" s="66"/>
      <c r="Q62" s="66"/>
      <c r="R62" s="25"/>
      <c r="S62" s="36"/>
      <c r="T62" s="53">
        <f t="shared" si="1"/>
        <v>6906.5</v>
      </c>
      <c r="U62" s="42"/>
      <c r="V62" s="42"/>
      <c r="W62" s="42"/>
      <c r="X62" s="42"/>
      <c r="Y62" s="42"/>
    </row>
    <row r="63" ht="15.75" customHeight="1" spans="1:25" x14ac:dyDescent="0.25">
      <c r="A63" s="25"/>
      <c r="B63" s="35">
        <v>1152</v>
      </c>
      <c r="C63" s="25" t="s">
        <v>170</v>
      </c>
      <c r="D63" s="25" t="s">
        <v>54</v>
      </c>
      <c r="E63" s="53">
        <v>7320</v>
      </c>
      <c r="F63" s="50"/>
      <c r="G63" s="35">
        <v>61</v>
      </c>
      <c r="H63" s="35">
        <v>120</v>
      </c>
      <c r="I63" s="53">
        <v>7320</v>
      </c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 t="shared" si="1"/>
        <v>-413.5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1153</v>
      </c>
      <c r="C64" s="25" t="s">
        <v>1186</v>
      </c>
      <c r="D64" s="25" t="s">
        <v>54</v>
      </c>
      <c r="E64" s="53">
        <v>7200</v>
      </c>
      <c r="F64" s="50"/>
      <c r="G64" s="35">
        <v>72</v>
      </c>
      <c r="H64" s="25">
        <v>100</v>
      </c>
      <c r="I64" s="65">
        <v>7200</v>
      </c>
      <c r="J64" s="66"/>
      <c r="K64" s="66"/>
      <c r="L64" s="66"/>
      <c r="M64" s="66"/>
      <c r="N64" s="66"/>
      <c r="O64" s="67"/>
      <c r="P64" s="66"/>
      <c r="Q64" s="66"/>
      <c r="R64" s="25"/>
      <c r="S64" s="36"/>
      <c r="T64" s="53">
        <f t="shared" si="1"/>
        <v>-7613.5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1154</v>
      </c>
      <c r="C65" s="25" t="s">
        <v>1186</v>
      </c>
      <c r="D65" s="25" t="s">
        <v>618</v>
      </c>
      <c r="E65" s="53">
        <v>27400</v>
      </c>
      <c r="F65" s="50"/>
      <c r="G65" s="35">
        <v>274</v>
      </c>
      <c r="H65" s="25">
        <v>100</v>
      </c>
      <c r="I65" s="65">
        <v>27400</v>
      </c>
      <c r="J65" s="66"/>
      <c r="K65" s="66"/>
      <c r="L65" s="66"/>
      <c r="M65" s="66"/>
      <c r="N65" s="66"/>
      <c r="O65" s="67"/>
      <c r="P65" s="66"/>
      <c r="Q65" s="66"/>
      <c r="R65" s="25"/>
      <c r="S65" s="36"/>
      <c r="T65" s="53">
        <f t="shared" si="1"/>
        <v>-35013.5</v>
      </c>
      <c r="U65" s="42"/>
      <c r="V65" s="42"/>
      <c r="W65" s="42"/>
      <c r="X65" s="42"/>
      <c r="Y65" s="42"/>
    </row>
    <row r="66" ht="15.75" customHeight="1" spans="1:25" x14ac:dyDescent="0.25">
      <c r="A66" s="25" t="s">
        <v>1188</v>
      </c>
      <c r="B66" s="35">
        <v>1155</v>
      </c>
      <c r="C66" s="25" t="s">
        <v>1189</v>
      </c>
      <c r="D66" s="25" t="s">
        <v>1171</v>
      </c>
      <c r="E66" s="53">
        <v>4000</v>
      </c>
      <c r="F66" s="50"/>
      <c r="G66" s="35"/>
      <c r="H66" s="35"/>
      <c r="I66" s="53"/>
      <c r="J66" s="66"/>
      <c r="K66" s="66">
        <v>4000</v>
      </c>
      <c r="L66" s="66"/>
      <c r="M66" s="66"/>
      <c r="N66" s="66"/>
      <c r="O66" s="66"/>
      <c r="P66" s="66"/>
      <c r="Q66" s="67"/>
      <c r="R66" s="25"/>
      <c r="S66" s="36"/>
      <c r="T66" s="53">
        <f t="shared" si="1"/>
        <v>-39013.5</v>
      </c>
      <c r="U66" s="42"/>
      <c r="V66" s="42"/>
      <c r="W66" s="42"/>
      <c r="X66" s="42"/>
      <c r="Y66" s="42"/>
    </row>
    <row r="67" ht="15.75" customHeight="1" spans="1:25" x14ac:dyDescent="0.25">
      <c r="A67" s="25"/>
      <c r="B67" s="35">
        <v>1156</v>
      </c>
      <c r="C67" s="25" t="s">
        <v>1190</v>
      </c>
      <c r="D67" s="25" t="s">
        <v>1074</v>
      </c>
      <c r="E67" s="53">
        <v>2000</v>
      </c>
      <c r="F67" s="50"/>
      <c r="G67" s="35"/>
      <c r="H67" s="35"/>
      <c r="I67" s="53"/>
      <c r="J67" s="66"/>
      <c r="K67" s="66">
        <v>2000</v>
      </c>
      <c r="L67" s="66"/>
      <c r="M67" s="66"/>
      <c r="N67" s="66"/>
      <c r="O67" s="66"/>
      <c r="P67" s="67"/>
      <c r="Q67" s="66"/>
      <c r="R67" s="25"/>
      <c r="S67" s="36"/>
      <c r="T67" s="53">
        <f t="shared" si="1"/>
        <v>-41013.5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1157</v>
      </c>
      <c r="C68" s="25" t="s">
        <v>1191</v>
      </c>
      <c r="D68" s="25" t="s">
        <v>1192</v>
      </c>
      <c r="E68" s="53">
        <v>200</v>
      </c>
      <c r="F68" s="50"/>
      <c r="G68" s="35"/>
      <c r="H68" s="25"/>
      <c r="I68" s="65"/>
      <c r="J68" s="66"/>
      <c r="K68" s="66"/>
      <c r="L68" s="66"/>
      <c r="M68" s="66"/>
      <c r="N68" s="66">
        <v>200</v>
      </c>
      <c r="O68" s="66"/>
      <c r="P68" s="66"/>
      <c r="Q68" s="66"/>
      <c r="R68" s="25"/>
      <c r="S68" s="36"/>
      <c r="T68" s="53">
        <f t="shared" si="1"/>
        <v>-41213.5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1158</v>
      </c>
      <c r="C69" s="25" t="s">
        <v>600</v>
      </c>
      <c r="D69" s="25" t="s">
        <v>295</v>
      </c>
      <c r="E69" s="53">
        <v>4250</v>
      </c>
      <c r="F69" s="50"/>
      <c r="G69" s="25"/>
      <c r="H69" s="35"/>
      <c r="I69" s="53"/>
      <c r="J69" s="66"/>
      <c r="K69" s="66"/>
      <c r="L69" s="66"/>
      <c r="M69" s="66"/>
      <c r="N69" s="66"/>
      <c r="O69" s="66"/>
      <c r="P69" s="66"/>
      <c r="Q69" s="66"/>
      <c r="R69" s="25">
        <v>4250</v>
      </c>
      <c r="S69" s="36"/>
      <c r="T69" s="53">
        <f t="shared" si="1"/>
        <v>-45463.5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>
        <v>1159</v>
      </c>
      <c r="C70" s="25" t="s">
        <v>1193</v>
      </c>
      <c r="D70" s="25" t="s">
        <v>28</v>
      </c>
      <c r="E70" s="53">
        <v>1080</v>
      </c>
      <c r="F70" s="50"/>
      <c r="G70" s="25"/>
      <c r="H70" s="25"/>
      <c r="I70" s="65"/>
      <c r="J70" s="66"/>
      <c r="K70" s="66"/>
      <c r="L70" s="66">
        <v>1050</v>
      </c>
      <c r="M70" s="66"/>
      <c r="N70" s="66"/>
      <c r="O70" s="66"/>
      <c r="P70" s="66"/>
      <c r="Q70" s="66"/>
      <c r="R70" s="25"/>
      <c r="S70" s="36"/>
      <c r="T70" s="53">
        <f t="shared" si="1"/>
        <v>-46543.5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1160</v>
      </c>
      <c r="C71" s="25" t="s">
        <v>1186</v>
      </c>
      <c r="D71" s="25" t="s">
        <v>1185</v>
      </c>
      <c r="E71" s="53">
        <v>1400</v>
      </c>
      <c r="F71" s="50"/>
      <c r="G71" s="35">
        <v>14</v>
      </c>
      <c r="H71" s="25">
        <v>100</v>
      </c>
      <c r="I71" s="65">
        <v>1400</v>
      </c>
      <c r="J71" s="66"/>
      <c r="K71" s="66"/>
      <c r="L71" s="66"/>
      <c r="M71" s="66"/>
      <c r="N71" s="66"/>
      <c r="O71" s="66"/>
      <c r="P71" s="66"/>
      <c r="Q71" s="66"/>
      <c r="R71" s="25"/>
      <c r="S71" s="36"/>
      <c r="T71" s="53">
        <f t="shared" si="1"/>
        <v>-47943.5</v>
      </c>
      <c r="U71" s="42"/>
      <c r="V71" s="42"/>
      <c r="W71" s="42"/>
      <c r="X71" s="42"/>
      <c r="Y71" s="42"/>
    </row>
    <row r="72" ht="15.75" customHeight="1" spans="1:25" x14ac:dyDescent="0.25">
      <c r="A72" s="25" t="s">
        <v>1194</v>
      </c>
      <c r="B72" s="35">
        <v>1161</v>
      </c>
      <c r="C72" s="25" t="s">
        <v>170</v>
      </c>
      <c r="D72" s="25" t="s">
        <v>1195</v>
      </c>
      <c r="E72" s="53">
        <v>1560</v>
      </c>
      <c r="F72" s="50"/>
      <c r="G72" s="35">
        <v>13</v>
      </c>
      <c r="H72" s="35">
        <v>120</v>
      </c>
      <c r="I72" s="53">
        <v>1560</v>
      </c>
      <c r="J72" s="66"/>
      <c r="K72" s="66"/>
      <c r="L72" s="66"/>
      <c r="M72" s="66"/>
      <c r="N72" s="66"/>
      <c r="O72" s="66"/>
      <c r="P72" s="66"/>
      <c r="Q72" s="66"/>
      <c r="R72" s="25"/>
      <c r="S72" s="36"/>
      <c r="T72" s="53">
        <f t="shared" si="1"/>
        <v>-49503.5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1162</v>
      </c>
      <c r="C73" s="25" t="s">
        <v>170</v>
      </c>
      <c r="D73" s="25" t="s">
        <v>54</v>
      </c>
      <c r="E73" s="53">
        <v>2520</v>
      </c>
      <c r="F73" s="50"/>
      <c r="G73" s="35">
        <v>21</v>
      </c>
      <c r="H73" s="35">
        <v>120</v>
      </c>
      <c r="I73" s="53">
        <v>2520</v>
      </c>
      <c r="J73" s="66"/>
      <c r="K73" s="66"/>
      <c r="L73" s="66"/>
      <c r="M73" s="66"/>
      <c r="N73" s="66"/>
      <c r="O73" s="66"/>
      <c r="P73" s="66"/>
      <c r="Q73" s="66"/>
      <c r="R73" s="25"/>
      <c r="S73" s="36"/>
      <c r="T73" s="53">
        <f t="shared" si="1"/>
        <v>-52023.5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1163</v>
      </c>
      <c r="C74" s="25" t="s">
        <v>170</v>
      </c>
      <c r="D74" s="25" t="s">
        <v>618</v>
      </c>
      <c r="E74" s="53">
        <v>9480</v>
      </c>
      <c r="F74" s="50"/>
      <c r="G74" s="35">
        <v>79</v>
      </c>
      <c r="H74" s="35">
        <v>120</v>
      </c>
      <c r="I74" s="53">
        <v>9480</v>
      </c>
      <c r="J74" s="66"/>
      <c r="K74" s="66"/>
      <c r="L74" s="66"/>
      <c r="M74" s="66"/>
      <c r="N74" s="66"/>
      <c r="O74" s="66"/>
      <c r="P74" s="66"/>
      <c r="Q74" s="66"/>
      <c r="R74" s="25"/>
      <c r="S74" s="36"/>
      <c r="T74" s="53">
        <f t="shared" si="1"/>
        <v>-61503.5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>
        <v>1164</v>
      </c>
      <c r="C75" s="25" t="s">
        <v>1186</v>
      </c>
      <c r="D75" s="25" t="s">
        <v>618</v>
      </c>
      <c r="E75" s="53">
        <v>10500</v>
      </c>
      <c r="F75" s="50"/>
      <c r="G75" s="35">
        <v>105</v>
      </c>
      <c r="H75" s="35">
        <v>100</v>
      </c>
      <c r="I75" s="53">
        <v>10500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1"/>
        <v>-72003.5</v>
      </c>
      <c r="U75" s="42"/>
      <c r="V75" s="42"/>
      <c r="W75" s="42"/>
      <c r="X75" s="42"/>
      <c r="Y75" s="42"/>
    </row>
    <row r="76" ht="15.75" customHeight="1" spans="1:25" x14ac:dyDescent="0.25">
      <c r="A76" s="25" t="s">
        <v>1196</v>
      </c>
      <c r="B76" s="35"/>
      <c r="C76" s="25" t="s">
        <v>1197</v>
      </c>
      <c r="D76" s="25"/>
      <c r="E76" s="53"/>
      <c r="F76" s="68">
        <v>250000</v>
      </c>
      <c r="G76" s="35"/>
      <c r="H76" s="35"/>
      <c r="I76" s="53"/>
      <c r="J76" s="66"/>
      <c r="K76" s="67"/>
      <c r="L76" s="66"/>
      <c r="M76" s="66"/>
      <c r="N76" s="66"/>
      <c r="O76" s="66"/>
      <c r="P76" s="66"/>
      <c r="Q76" s="66"/>
      <c r="R76" s="25"/>
      <c r="S76" s="36"/>
      <c r="T76" s="53">
        <f>T75-E76+250000</f>
        <v>177996.5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1165</v>
      </c>
      <c r="C77" s="25" t="s">
        <v>1198</v>
      </c>
      <c r="D77" s="25" t="s">
        <v>279</v>
      </c>
      <c r="E77" s="53">
        <v>500</v>
      </c>
      <c r="F77" s="50"/>
      <c r="G77" s="35"/>
      <c r="H77" s="35"/>
      <c r="I77" s="53"/>
      <c r="J77" s="66"/>
      <c r="K77" s="66"/>
      <c r="L77" s="66"/>
      <c r="M77" s="66"/>
      <c r="N77" s="66"/>
      <c r="O77" s="66"/>
      <c r="P77" s="66"/>
      <c r="Q77" s="66"/>
      <c r="R77" s="25">
        <v>500</v>
      </c>
      <c r="S77" s="36"/>
      <c r="T77" s="53">
        <f t="shared" ref="T77:T112" si="4">T76-E77</f>
        <v>177496.5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>
        <v>1166</v>
      </c>
      <c r="C78" s="25" t="s">
        <v>1199</v>
      </c>
      <c r="D78" s="25" t="s">
        <v>610</v>
      </c>
      <c r="E78" s="53">
        <v>1900</v>
      </c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>
        <v>1900</v>
      </c>
      <c r="Q78" s="66"/>
      <c r="R78" s="25"/>
      <c r="S78" s="36"/>
      <c r="T78" s="53">
        <f t="shared" si="4"/>
        <v>175596.5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1167</v>
      </c>
      <c r="C79" s="25" t="s">
        <v>13</v>
      </c>
      <c r="D79" s="25" t="s">
        <v>636</v>
      </c>
      <c r="E79" s="53">
        <v>6000</v>
      </c>
      <c r="F79" s="50"/>
      <c r="G79" s="35"/>
      <c r="H79" s="35"/>
      <c r="I79" s="53"/>
      <c r="J79" s="66"/>
      <c r="K79" s="66"/>
      <c r="L79" s="66"/>
      <c r="M79" s="66"/>
      <c r="N79" s="66"/>
      <c r="O79" s="66"/>
      <c r="P79" s="66"/>
      <c r="Q79" s="66">
        <v>6000</v>
      </c>
      <c r="R79" s="25"/>
      <c r="S79" s="36"/>
      <c r="T79" s="53">
        <f t="shared" si="4"/>
        <v>169596.5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1168</v>
      </c>
      <c r="C80" s="25" t="s">
        <v>300</v>
      </c>
      <c r="D80" s="25" t="s">
        <v>1074</v>
      </c>
      <c r="E80" s="53">
        <v>2500</v>
      </c>
      <c r="F80" s="50"/>
      <c r="G80" s="35"/>
      <c r="H80" s="35"/>
      <c r="I80" s="53"/>
      <c r="J80" s="66"/>
      <c r="K80" s="66">
        <v>2500</v>
      </c>
      <c r="L80" s="66"/>
      <c r="M80" s="66"/>
      <c r="N80" s="66"/>
      <c r="O80" s="66"/>
      <c r="P80" s="67"/>
      <c r="Q80" s="66"/>
      <c r="R80" s="25"/>
      <c r="S80" s="36"/>
      <c r="T80" s="53">
        <f t="shared" si="4"/>
        <v>167096.5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1169</v>
      </c>
      <c r="C81" s="25" t="s">
        <v>384</v>
      </c>
      <c r="D81" s="25" t="s">
        <v>257</v>
      </c>
      <c r="E81" s="53">
        <v>400</v>
      </c>
      <c r="F81" s="50"/>
      <c r="G81" s="25"/>
      <c r="H81" s="25"/>
      <c r="I81" s="65"/>
      <c r="J81" s="66"/>
      <c r="K81" s="66"/>
      <c r="L81" s="66"/>
      <c r="M81" s="66"/>
      <c r="N81" s="66"/>
      <c r="O81" s="66"/>
      <c r="P81" s="66">
        <v>400</v>
      </c>
      <c r="Q81" s="67"/>
      <c r="R81" s="25"/>
      <c r="S81" s="36"/>
      <c r="T81" s="53">
        <f t="shared" si="4"/>
        <v>166696.5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1170</v>
      </c>
      <c r="C82" s="25" t="s">
        <v>582</v>
      </c>
      <c r="D82" s="25" t="s">
        <v>295</v>
      </c>
      <c r="E82" s="53">
        <v>4570</v>
      </c>
      <c r="F82" s="50"/>
      <c r="G82" s="25"/>
      <c r="H82" s="25"/>
      <c r="I82" s="65"/>
      <c r="J82" s="66"/>
      <c r="K82" s="66"/>
      <c r="L82" s="66"/>
      <c r="M82" s="66"/>
      <c r="N82" s="66"/>
      <c r="O82" s="66"/>
      <c r="P82" s="67"/>
      <c r="Q82" s="66"/>
      <c r="R82" s="25">
        <v>4570</v>
      </c>
      <c r="S82" s="36"/>
      <c r="T82" s="53">
        <f t="shared" si="4"/>
        <v>162126.5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>
        <v>1171</v>
      </c>
      <c r="C83" s="25" t="s">
        <v>170</v>
      </c>
      <c r="D83" s="25" t="s">
        <v>1200</v>
      </c>
      <c r="E83" s="53">
        <v>1080</v>
      </c>
      <c r="F83" s="50"/>
      <c r="G83" s="35">
        <v>9</v>
      </c>
      <c r="H83" s="35">
        <v>120</v>
      </c>
      <c r="I83" s="53">
        <v>1080</v>
      </c>
      <c r="J83" s="66"/>
      <c r="K83" s="66"/>
      <c r="L83" s="66"/>
      <c r="M83" s="66"/>
      <c r="N83" s="66"/>
      <c r="O83" s="66"/>
      <c r="P83" s="67"/>
      <c r="Q83" s="66"/>
      <c r="R83" s="25"/>
      <c r="S83" s="36"/>
      <c r="T83" s="53">
        <f t="shared" si="4"/>
        <v>161046.5</v>
      </c>
      <c r="U83" s="42"/>
      <c r="V83" s="42"/>
      <c r="W83" s="42"/>
      <c r="X83" s="42"/>
      <c r="Y83" s="42"/>
    </row>
    <row r="84" ht="15.75" customHeight="1" spans="1:25" x14ac:dyDescent="0.25">
      <c r="A84" s="25" t="s">
        <v>1201</v>
      </c>
      <c r="B84" s="35">
        <v>1172</v>
      </c>
      <c r="C84" s="25" t="s">
        <v>1202</v>
      </c>
      <c r="D84" s="25" t="s">
        <v>1171</v>
      </c>
      <c r="E84" s="53">
        <v>500</v>
      </c>
      <c r="F84" s="50"/>
      <c r="G84" s="35"/>
      <c r="H84" s="35"/>
      <c r="I84" s="53"/>
      <c r="J84" s="66"/>
      <c r="K84" s="66">
        <v>500</v>
      </c>
      <c r="L84" s="66"/>
      <c r="M84" s="66"/>
      <c r="N84" s="66"/>
      <c r="O84" s="66"/>
      <c r="P84" s="67"/>
      <c r="Q84" s="66"/>
      <c r="R84" s="25"/>
      <c r="S84" s="36"/>
      <c r="T84" s="53">
        <f t="shared" si="4"/>
        <v>160546.5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>
        <v>1173</v>
      </c>
      <c r="C85" s="25" t="s">
        <v>1203</v>
      </c>
      <c r="D85" s="25" t="s">
        <v>1158</v>
      </c>
      <c r="E85" s="53">
        <v>800</v>
      </c>
      <c r="F85" s="50"/>
      <c r="G85" s="35"/>
      <c r="H85" s="35"/>
      <c r="I85" s="53"/>
      <c r="J85" s="66"/>
      <c r="K85" s="66"/>
      <c r="L85" s="66"/>
      <c r="M85" s="66"/>
      <c r="N85" s="66"/>
      <c r="O85" s="66"/>
      <c r="P85" s="66"/>
      <c r="Q85" s="66"/>
      <c r="R85" s="25">
        <v>800</v>
      </c>
      <c r="S85" s="36"/>
      <c r="T85" s="53">
        <f t="shared" si="4"/>
        <v>159746.5</v>
      </c>
      <c r="U85" s="42"/>
      <c r="V85" s="42"/>
      <c r="W85" s="42"/>
      <c r="X85" s="42"/>
      <c r="Y85" s="42"/>
    </row>
    <row r="86" ht="15.75" customHeight="1" spans="1:25" x14ac:dyDescent="0.25">
      <c r="A86" s="25"/>
      <c r="B86" s="35">
        <v>1174</v>
      </c>
      <c r="C86" s="25" t="s">
        <v>170</v>
      </c>
      <c r="D86" s="25" t="s">
        <v>618</v>
      </c>
      <c r="E86" s="53">
        <v>2400</v>
      </c>
      <c r="F86" s="50"/>
      <c r="G86" s="35">
        <v>20</v>
      </c>
      <c r="H86" s="35">
        <v>120</v>
      </c>
      <c r="I86" s="53">
        <v>2400</v>
      </c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4"/>
        <v>157346.5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1175</v>
      </c>
      <c r="C87" s="25" t="s">
        <v>1186</v>
      </c>
      <c r="D87" s="25" t="s">
        <v>618</v>
      </c>
      <c r="E87" s="53">
        <v>1800</v>
      </c>
      <c r="F87" s="50"/>
      <c r="G87" s="35">
        <v>18</v>
      </c>
      <c r="H87" s="35">
        <v>100</v>
      </c>
      <c r="I87" s="53">
        <v>1800</v>
      </c>
      <c r="J87" s="66"/>
      <c r="K87" s="66"/>
      <c r="L87" s="66"/>
      <c r="M87" s="66"/>
      <c r="N87" s="66"/>
      <c r="O87" s="66"/>
      <c r="P87" s="66"/>
      <c r="Q87" s="66"/>
      <c r="R87" s="25"/>
      <c r="S87" s="36"/>
      <c r="T87" s="53">
        <f t="shared" si="4"/>
        <v>155546.5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1176</v>
      </c>
      <c r="C88" s="25" t="s">
        <v>170</v>
      </c>
      <c r="D88" s="25" t="s">
        <v>54</v>
      </c>
      <c r="E88" s="53">
        <v>13440</v>
      </c>
      <c r="F88" s="50"/>
      <c r="G88" s="35">
        <v>112</v>
      </c>
      <c r="H88" s="35">
        <v>120</v>
      </c>
      <c r="I88" s="53">
        <v>13440</v>
      </c>
      <c r="J88" s="66"/>
      <c r="K88" s="66"/>
      <c r="L88" s="66"/>
      <c r="M88" s="66"/>
      <c r="N88" s="66"/>
      <c r="O88" s="66"/>
      <c r="P88" s="66"/>
      <c r="Q88" s="66"/>
      <c r="R88" s="25"/>
      <c r="S88" s="36"/>
      <c r="T88" s="53">
        <f t="shared" si="4"/>
        <v>142106.5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>
        <v>1177</v>
      </c>
      <c r="C89" s="25" t="s">
        <v>1204</v>
      </c>
      <c r="D89" s="25" t="s">
        <v>1205</v>
      </c>
      <c r="E89" s="53">
        <v>500</v>
      </c>
      <c r="F89" s="50"/>
      <c r="G89" s="25"/>
      <c r="H89" s="25"/>
      <c r="I89" s="65"/>
      <c r="J89" s="66"/>
      <c r="K89" s="66"/>
      <c r="L89" s="66"/>
      <c r="M89" s="66"/>
      <c r="N89" s="66"/>
      <c r="O89" s="66"/>
      <c r="P89" s="66">
        <v>500</v>
      </c>
      <c r="Q89" s="66"/>
      <c r="R89" s="25"/>
      <c r="S89" s="36"/>
      <c r="T89" s="53">
        <f t="shared" si="4"/>
        <v>141606.5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>
        <v>1178</v>
      </c>
      <c r="C90" s="25" t="s">
        <v>912</v>
      </c>
      <c r="D90" s="25" t="s">
        <v>28</v>
      </c>
      <c r="E90" s="53">
        <v>1780</v>
      </c>
      <c r="F90" s="50"/>
      <c r="G90" s="25"/>
      <c r="H90" s="25"/>
      <c r="I90" s="65"/>
      <c r="J90" s="66"/>
      <c r="K90" s="66"/>
      <c r="L90" s="66">
        <v>1780</v>
      </c>
      <c r="M90" s="66"/>
      <c r="N90" s="66"/>
      <c r="O90" s="66"/>
      <c r="P90" s="66"/>
      <c r="Q90" s="66"/>
      <c r="R90" s="25"/>
      <c r="S90" s="36"/>
      <c r="T90" s="53">
        <f t="shared" si="4"/>
        <v>139826.5</v>
      </c>
      <c r="U90" s="42"/>
      <c r="V90" s="42"/>
      <c r="W90" s="42"/>
      <c r="X90" s="42"/>
      <c r="Y90" s="42"/>
    </row>
    <row r="91" ht="15.75" customHeight="1" spans="1:25" x14ac:dyDescent="0.25">
      <c r="A91" s="25" t="s">
        <v>1206</v>
      </c>
      <c r="B91" s="35">
        <v>1179</v>
      </c>
      <c r="C91" s="25" t="s">
        <v>1207</v>
      </c>
      <c r="D91" s="25"/>
      <c r="E91" s="53">
        <v>220</v>
      </c>
      <c r="F91" s="50"/>
      <c r="G91" s="25"/>
      <c r="H91" s="25"/>
      <c r="I91" s="65"/>
      <c r="J91" s="66"/>
      <c r="K91" s="66"/>
      <c r="L91" s="66"/>
      <c r="M91" s="66"/>
      <c r="N91" s="66"/>
      <c r="O91" s="66"/>
      <c r="P91" s="66">
        <v>220</v>
      </c>
      <c r="Q91" s="66"/>
      <c r="R91" s="25"/>
      <c r="S91" s="36"/>
      <c r="T91" s="53">
        <f t="shared" si="4"/>
        <v>139606.5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>
        <v>1180</v>
      </c>
      <c r="C92" s="25" t="s">
        <v>1208</v>
      </c>
      <c r="D92" s="25" t="s">
        <v>1209</v>
      </c>
      <c r="E92" s="53">
        <v>920</v>
      </c>
      <c r="F92" s="50"/>
      <c r="G92" s="35"/>
      <c r="H92" s="35"/>
      <c r="I92" s="53"/>
      <c r="J92" s="66"/>
      <c r="K92" s="66"/>
      <c r="L92" s="66"/>
      <c r="M92" s="66"/>
      <c r="N92" s="66"/>
      <c r="O92" s="66"/>
      <c r="P92" s="66">
        <v>920</v>
      </c>
      <c r="Q92" s="66"/>
      <c r="R92" s="25"/>
      <c r="S92" s="36"/>
      <c r="T92" s="53">
        <f t="shared" si="4"/>
        <v>138686.5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1181</v>
      </c>
      <c r="C93" s="25" t="s">
        <v>1210</v>
      </c>
      <c r="D93" s="25" t="s">
        <v>270</v>
      </c>
      <c r="E93" s="53">
        <v>5800</v>
      </c>
      <c r="F93" s="50"/>
      <c r="G93" s="35"/>
      <c r="H93" s="35"/>
      <c r="I93" s="53"/>
      <c r="J93" s="66"/>
      <c r="K93" s="66"/>
      <c r="L93" s="66"/>
      <c r="M93" s="66"/>
      <c r="N93" s="66">
        <v>5800</v>
      </c>
      <c r="O93" s="66"/>
      <c r="P93" s="66"/>
      <c r="Q93" s="66"/>
      <c r="R93" s="25"/>
      <c r="S93" s="36"/>
      <c r="T93" s="53">
        <f t="shared" si="4"/>
        <v>132886.5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>
        <v>1182</v>
      </c>
      <c r="C94" s="25" t="s">
        <v>1211</v>
      </c>
      <c r="D94" s="90" t="s">
        <v>1212</v>
      </c>
      <c r="E94" s="53">
        <v>15450</v>
      </c>
      <c r="F94" s="50"/>
      <c r="G94" s="35"/>
      <c r="H94" s="35"/>
      <c r="I94" s="53"/>
      <c r="J94" s="66"/>
      <c r="K94" s="67"/>
      <c r="L94" s="66"/>
      <c r="M94" s="66"/>
      <c r="N94" s="66"/>
      <c r="O94" s="66"/>
      <c r="P94" s="66"/>
      <c r="Q94" s="66"/>
      <c r="R94" s="25">
        <v>15450</v>
      </c>
      <c r="S94" s="36"/>
      <c r="T94" s="53">
        <f t="shared" si="4"/>
        <v>117436.5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>
        <v>1183</v>
      </c>
      <c r="C95" s="25" t="s">
        <v>1186</v>
      </c>
      <c r="D95" s="25" t="s">
        <v>52</v>
      </c>
      <c r="E95" s="53">
        <v>2400</v>
      </c>
      <c r="F95" s="50"/>
      <c r="G95" s="35">
        <v>24</v>
      </c>
      <c r="H95" s="35">
        <v>100</v>
      </c>
      <c r="I95" s="53">
        <v>2400</v>
      </c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4"/>
        <v>115036.5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>
        <v>1184</v>
      </c>
      <c r="C96" s="25" t="s">
        <v>170</v>
      </c>
      <c r="D96" s="25" t="s">
        <v>1200</v>
      </c>
      <c r="E96" s="53">
        <v>2040</v>
      </c>
      <c r="F96" s="50"/>
      <c r="G96" s="35">
        <v>17</v>
      </c>
      <c r="H96" s="35">
        <v>120</v>
      </c>
      <c r="I96" s="53">
        <v>2040</v>
      </c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4"/>
        <v>112996.5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1185</v>
      </c>
      <c r="C97" s="25" t="s">
        <v>170</v>
      </c>
      <c r="D97" s="25" t="s">
        <v>200</v>
      </c>
      <c r="E97" s="53">
        <v>59520</v>
      </c>
      <c r="F97" s="50"/>
      <c r="G97" s="35">
        <v>496</v>
      </c>
      <c r="H97" s="35">
        <v>120</v>
      </c>
      <c r="I97" s="53">
        <v>59520</v>
      </c>
      <c r="J97" s="66"/>
      <c r="K97" s="66"/>
      <c r="L97" s="66"/>
      <c r="M97" s="66"/>
      <c r="N97" s="66"/>
      <c r="O97" s="66"/>
      <c r="P97" s="66"/>
      <c r="Q97" s="67"/>
      <c r="R97" s="25"/>
      <c r="S97" s="36"/>
      <c r="T97" s="53">
        <f t="shared" si="4"/>
        <v>53476.5</v>
      </c>
      <c r="U97" s="42"/>
      <c r="V97" s="42"/>
      <c r="W97" s="42"/>
      <c r="X97" s="42"/>
      <c r="Y97" s="42"/>
    </row>
    <row r="98" ht="15.75" customHeight="1" spans="1:25" x14ac:dyDescent="0.25">
      <c r="A98" s="25" t="s">
        <v>1213</v>
      </c>
      <c r="B98" s="35">
        <v>1186</v>
      </c>
      <c r="C98" s="25" t="s">
        <v>170</v>
      </c>
      <c r="D98" s="25" t="s">
        <v>54</v>
      </c>
      <c r="E98" s="53">
        <v>8760</v>
      </c>
      <c r="F98" s="50"/>
      <c r="G98" s="35">
        <v>73</v>
      </c>
      <c r="H98" s="35">
        <v>120</v>
      </c>
      <c r="I98" s="53">
        <v>8760</v>
      </c>
      <c r="J98" s="66"/>
      <c r="K98" s="66"/>
      <c r="L98" s="66"/>
      <c r="M98" s="66"/>
      <c r="N98" s="66"/>
      <c r="O98" s="66"/>
      <c r="P98" s="66"/>
      <c r="Q98" s="66"/>
      <c r="R98" s="25"/>
      <c r="S98" s="36"/>
      <c r="T98" s="53">
        <f t="shared" si="4"/>
        <v>44716.5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>
        <v>1187</v>
      </c>
      <c r="C99" s="25" t="s">
        <v>170</v>
      </c>
      <c r="D99" s="25" t="s">
        <v>618</v>
      </c>
      <c r="E99" s="53">
        <v>14280</v>
      </c>
      <c r="F99" s="50"/>
      <c r="G99" s="35">
        <v>119</v>
      </c>
      <c r="H99" s="35">
        <v>120</v>
      </c>
      <c r="I99" s="53">
        <v>14280</v>
      </c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4"/>
        <v>30436.5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1188</v>
      </c>
      <c r="C100" s="25" t="s">
        <v>1186</v>
      </c>
      <c r="D100" s="25" t="s">
        <v>618</v>
      </c>
      <c r="E100" s="53">
        <v>15300</v>
      </c>
      <c r="F100" s="50"/>
      <c r="G100" s="35">
        <v>153</v>
      </c>
      <c r="H100" s="35">
        <v>100</v>
      </c>
      <c r="I100" s="53">
        <v>15300</v>
      </c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si="4"/>
        <v>15136.5</v>
      </c>
      <c r="U100" s="42"/>
      <c r="V100" s="42"/>
      <c r="W100" s="42"/>
      <c r="X100" s="42"/>
      <c r="Y100" s="42"/>
    </row>
    <row r="101" ht="15.75" customHeight="1" spans="1:25" x14ac:dyDescent="0.25">
      <c r="A101" s="25" t="s">
        <v>1214</v>
      </c>
      <c r="B101" s="35">
        <v>1189</v>
      </c>
      <c r="C101" s="25" t="s">
        <v>170</v>
      </c>
      <c r="D101" s="25" t="s">
        <v>432</v>
      </c>
      <c r="E101" s="53">
        <v>1320</v>
      </c>
      <c r="F101" s="50"/>
      <c r="G101" s="35">
        <v>17</v>
      </c>
      <c r="H101" s="35">
        <v>120</v>
      </c>
      <c r="I101" s="53">
        <v>2040</v>
      </c>
      <c r="J101" s="66"/>
      <c r="K101" s="66"/>
      <c r="L101" s="66"/>
      <c r="M101" s="66"/>
      <c r="N101" s="66"/>
      <c r="O101" s="66"/>
      <c r="P101" s="66"/>
      <c r="Q101" s="66"/>
      <c r="R101" s="25"/>
      <c r="S101" s="36"/>
      <c r="T101" s="53">
        <f t="shared" si="4"/>
        <v>13816.5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1190</v>
      </c>
      <c r="C102" s="25" t="s">
        <v>170</v>
      </c>
      <c r="D102" s="25" t="s">
        <v>618</v>
      </c>
      <c r="E102" s="53">
        <v>19680</v>
      </c>
      <c r="F102" s="50"/>
      <c r="G102" s="35">
        <v>164</v>
      </c>
      <c r="H102" s="35">
        <v>120</v>
      </c>
      <c r="I102" s="53">
        <v>19680</v>
      </c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si="4"/>
        <v>-5863.5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1191</v>
      </c>
      <c r="C103" s="25" t="s">
        <v>1186</v>
      </c>
      <c r="D103" s="25" t="s">
        <v>618</v>
      </c>
      <c r="E103" s="53">
        <v>900</v>
      </c>
      <c r="F103" s="50"/>
      <c r="G103" s="35">
        <v>9</v>
      </c>
      <c r="H103" s="35">
        <v>100</v>
      </c>
      <c r="I103" s="53">
        <v>900</v>
      </c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4"/>
        <v>-6763.5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1192</v>
      </c>
      <c r="C104" s="25" t="s">
        <v>170</v>
      </c>
      <c r="D104" s="25" t="s">
        <v>54</v>
      </c>
      <c r="E104" s="53">
        <v>4680</v>
      </c>
      <c r="F104" s="50"/>
      <c r="G104" s="35">
        <v>39</v>
      </c>
      <c r="H104" s="89">
        <v>120</v>
      </c>
      <c r="I104" s="53">
        <v>4680</v>
      </c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4"/>
        <v>-11443.5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>
        <v>1193</v>
      </c>
      <c r="C105" s="25" t="s">
        <v>600</v>
      </c>
      <c r="D105" s="25" t="s">
        <v>1215</v>
      </c>
      <c r="E105" s="53">
        <v>4000</v>
      </c>
      <c r="F105" s="50"/>
      <c r="G105" s="25"/>
      <c r="H105" s="25"/>
      <c r="I105" s="65"/>
      <c r="J105" s="66"/>
      <c r="K105" s="66"/>
      <c r="L105" s="66"/>
      <c r="M105" s="67"/>
      <c r="N105" s="66"/>
      <c r="O105" s="66"/>
      <c r="P105" s="66"/>
      <c r="Q105" s="66"/>
      <c r="R105" s="25">
        <v>4000</v>
      </c>
      <c r="S105" s="36"/>
      <c r="T105" s="53">
        <f t="shared" si="4"/>
        <v>-15443.5</v>
      </c>
      <c r="U105" s="42"/>
      <c r="V105" s="42"/>
      <c r="W105" s="42"/>
      <c r="X105" s="42"/>
      <c r="Y105" s="42"/>
    </row>
    <row r="106" ht="15.75" customHeight="1" spans="1:25" x14ac:dyDescent="0.25">
      <c r="A106" s="25" t="s">
        <v>1216</v>
      </c>
      <c r="B106" s="35">
        <v>1194</v>
      </c>
      <c r="C106" s="25" t="s">
        <v>1217</v>
      </c>
      <c r="D106" s="25" t="s">
        <v>557</v>
      </c>
      <c r="E106" s="53">
        <v>240</v>
      </c>
      <c r="F106" s="50"/>
      <c r="G106" s="35"/>
      <c r="H106" s="25"/>
      <c r="I106" s="65"/>
      <c r="J106" s="66"/>
      <c r="K106" s="66"/>
      <c r="L106" s="66"/>
      <c r="M106" s="66"/>
      <c r="N106" s="66"/>
      <c r="O106" s="66"/>
      <c r="P106" s="66">
        <v>240</v>
      </c>
      <c r="Q106" s="66"/>
      <c r="R106" s="25"/>
      <c r="S106" s="36"/>
      <c r="T106" s="53">
        <f t="shared" si="4"/>
        <v>-15683.5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>
        <v>1195</v>
      </c>
      <c r="C107" s="25" t="s">
        <v>1218</v>
      </c>
      <c r="D107" s="25" t="s">
        <v>176</v>
      </c>
      <c r="E107" s="53">
        <v>300</v>
      </c>
      <c r="F107" s="50"/>
      <c r="G107" s="35"/>
      <c r="H107" s="89"/>
      <c r="I107" s="53"/>
      <c r="J107" s="66"/>
      <c r="K107" s="66"/>
      <c r="L107" s="66"/>
      <c r="M107" s="66"/>
      <c r="N107" s="66">
        <v>300</v>
      </c>
      <c r="O107" s="66"/>
      <c r="P107" s="66"/>
      <c r="Q107" s="66"/>
      <c r="R107" s="25"/>
      <c r="S107" s="36"/>
      <c r="T107" s="53">
        <f t="shared" si="4"/>
        <v>-15983.5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>
        <v>1196</v>
      </c>
      <c r="C108" s="25" t="s">
        <v>170</v>
      </c>
      <c r="D108" s="25" t="s">
        <v>618</v>
      </c>
      <c r="E108" s="53">
        <v>25440</v>
      </c>
      <c r="F108" s="50"/>
      <c r="G108" s="35">
        <v>212</v>
      </c>
      <c r="H108" s="35">
        <v>120</v>
      </c>
      <c r="I108" s="53">
        <v>25440</v>
      </c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4"/>
        <v>-41423.5</v>
      </c>
      <c r="U108" s="42"/>
      <c r="V108" s="42"/>
      <c r="W108" s="42"/>
      <c r="X108" s="42"/>
      <c r="Y108" s="42"/>
    </row>
    <row r="109" ht="15.75" customHeight="1" spans="1:25" x14ac:dyDescent="0.25">
      <c r="A109" s="25" t="s">
        <v>1219</v>
      </c>
      <c r="B109" s="35">
        <v>1197</v>
      </c>
      <c r="C109" s="25" t="s">
        <v>1220</v>
      </c>
      <c r="D109" s="25" t="s">
        <v>176</v>
      </c>
      <c r="E109" s="53">
        <v>260</v>
      </c>
      <c r="F109" s="50"/>
      <c r="G109" s="25"/>
      <c r="H109" s="25"/>
      <c r="I109" s="65"/>
      <c r="J109" s="66"/>
      <c r="K109" s="66"/>
      <c r="L109" s="66"/>
      <c r="M109" s="66"/>
      <c r="N109" s="66">
        <v>260</v>
      </c>
      <c r="O109" s="66"/>
      <c r="P109" s="66"/>
      <c r="Q109" s="66"/>
      <c r="R109" s="25"/>
      <c r="S109" s="36"/>
      <c r="T109" s="53">
        <f t="shared" si="4"/>
        <v>-41683.5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>
        <v>1198</v>
      </c>
      <c r="C110" s="25" t="s">
        <v>13</v>
      </c>
      <c r="D110" s="25" t="s">
        <v>52</v>
      </c>
      <c r="E110" s="53">
        <v>2500</v>
      </c>
      <c r="F110" s="50"/>
      <c r="G110" s="35"/>
      <c r="H110" s="35"/>
      <c r="I110" s="53"/>
      <c r="J110" s="66"/>
      <c r="K110" s="66"/>
      <c r="L110" s="66"/>
      <c r="M110" s="66"/>
      <c r="N110" s="66"/>
      <c r="O110" s="66"/>
      <c r="P110" s="66"/>
      <c r="Q110" s="66">
        <v>2500</v>
      </c>
      <c r="R110" s="25"/>
      <c r="S110" s="36"/>
      <c r="T110" s="53">
        <f t="shared" si="4"/>
        <v>-44183.5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>
        <v>1199</v>
      </c>
      <c r="C111" s="25" t="s">
        <v>170</v>
      </c>
      <c r="D111" s="25" t="s">
        <v>54</v>
      </c>
      <c r="E111" s="53">
        <v>4080</v>
      </c>
      <c r="F111" s="50"/>
      <c r="G111" s="35">
        <v>34</v>
      </c>
      <c r="H111" s="35">
        <v>120</v>
      </c>
      <c r="I111" s="53">
        <v>4080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4"/>
        <v>-48263.5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>
        <v>1200</v>
      </c>
      <c r="C112" s="25" t="s">
        <v>1186</v>
      </c>
      <c r="D112" s="25" t="s">
        <v>618</v>
      </c>
      <c r="E112" s="53">
        <v>4300</v>
      </c>
      <c r="F112" s="50"/>
      <c r="G112" s="35">
        <v>43</v>
      </c>
      <c r="H112" s="35">
        <v>100</v>
      </c>
      <c r="I112" s="53">
        <v>4300</v>
      </c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 t="shared" si="4"/>
        <v>-52563.5</v>
      </c>
      <c r="U112" s="42"/>
      <c r="V112" s="42"/>
      <c r="W112" s="42"/>
      <c r="X112" s="42"/>
      <c r="Y112" s="42"/>
    </row>
    <row r="113" ht="15.75" customHeight="1" spans="1:25" x14ac:dyDescent="0.25">
      <c r="A113" s="25" t="s">
        <v>1221</v>
      </c>
      <c r="B113" s="35"/>
      <c r="C113" s="25" t="s">
        <v>1222</v>
      </c>
      <c r="D113" s="25"/>
      <c r="E113" s="53"/>
      <c r="F113" s="68">
        <v>300000</v>
      </c>
      <c r="G113" s="35"/>
      <c r="H113" s="35"/>
      <c r="I113" s="53"/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>T112-E113+300000</f>
        <v>247436.5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>
        <v>1201</v>
      </c>
      <c r="C114" s="25" t="s">
        <v>1203</v>
      </c>
      <c r="D114" s="25" t="s">
        <v>476</v>
      </c>
      <c r="E114" s="53">
        <v>675</v>
      </c>
      <c r="F114" s="50"/>
      <c r="G114" s="35"/>
      <c r="H114" s="35"/>
      <c r="I114" s="53"/>
      <c r="J114" s="66"/>
      <c r="K114" s="66"/>
      <c r="L114" s="66"/>
      <c r="M114" s="67"/>
      <c r="N114" s="66"/>
      <c r="O114" s="66"/>
      <c r="P114" s="66"/>
      <c r="Q114" s="66"/>
      <c r="R114" s="25">
        <v>675</v>
      </c>
      <c r="S114" s="36"/>
      <c r="T114" s="53">
        <f t="shared" ref="T114:T145" si="5">T113-E114</f>
        <v>246761.5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>
        <v>1202</v>
      </c>
      <c r="C115" s="25" t="s">
        <v>1223</v>
      </c>
      <c r="D115" s="25" t="s">
        <v>1224</v>
      </c>
      <c r="E115" s="53">
        <v>180</v>
      </c>
      <c r="F115" s="50"/>
      <c r="G115" s="35"/>
      <c r="H115" s="35"/>
      <c r="I115" s="53"/>
      <c r="J115" s="66"/>
      <c r="K115" s="66"/>
      <c r="L115" s="66"/>
      <c r="M115" s="66"/>
      <c r="N115" s="66"/>
      <c r="O115" s="66"/>
      <c r="P115" s="67">
        <v>180</v>
      </c>
      <c r="Q115" s="66"/>
      <c r="R115" s="25"/>
      <c r="S115" s="36"/>
      <c r="T115" s="53">
        <f t="shared" si="5"/>
        <v>246581.5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>
        <v>1203</v>
      </c>
      <c r="C116" s="25" t="s">
        <v>170</v>
      </c>
      <c r="D116" s="25" t="s">
        <v>432</v>
      </c>
      <c r="E116" s="53">
        <v>360</v>
      </c>
      <c r="F116" s="50"/>
      <c r="G116" s="35">
        <v>3</v>
      </c>
      <c r="H116" s="35">
        <v>120</v>
      </c>
      <c r="I116" s="53">
        <v>360</v>
      </c>
      <c r="J116" s="66"/>
      <c r="K116" s="66"/>
      <c r="L116" s="66"/>
      <c r="M116" s="66"/>
      <c r="N116" s="66"/>
      <c r="O116" s="66"/>
      <c r="P116" s="66"/>
      <c r="Q116" s="66"/>
      <c r="R116" s="25"/>
      <c r="S116" s="55"/>
      <c r="T116" s="53">
        <f t="shared" si="5"/>
        <v>246221.5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>
        <v>1204</v>
      </c>
      <c r="C117" s="25" t="s">
        <v>170</v>
      </c>
      <c r="D117" s="25" t="s">
        <v>618</v>
      </c>
      <c r="E117" s="53">
        <v>38040</v>
      </c>
      <c r="F117" s="50"/>
      <c r="G117" s="35">
        <v>317</v>
      </c>
      <c r="H117" s="35">
        <v>120</v>
      </c>
      <c r="I117" s="53">
        <v>38040</v>
      </c>
      <c r="J117" s="66"/>
      <c r="K117" s="66"/>
      <c r="L117" s="67"/>
      <c r="M117" s="66"/>
      <c r="N117" s="66"/>
      <c r="O117" s="66"/>
      <c r="P117" s="66"/>
      <c r="Q117" s="66"/>
      <c r="R117" s="25"/>
      <c r="S117" s="55"/>
      <c r="T117" s="53">
        <f t="shared" si="5"/>
        <v>208181.5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>
        <v>1205</v>
      </c>
      <c r="C118" s="25" t="s">
        <v>1186</v>
      </c>
      <c r="D118" s="25" t="s">
        <v>618</v>
      </c>
      <c r="E118" s="53">
        <v>100</v>
      </c>
      <c r="F118" s="50"/>
      <c r="G118" s="35">
        <v>1</v>
      </c>
      <c r="H118" s="35">
        <v>100</v>
      </c>
      <c r="I118" s="53">
        <v>100</v>
      </c>
      <c r="J118" s="66"/>
      <c r="K118" s="66"/>
      <c r="L118" s="66"/>
      <c r="M118" s="67"/>
      <c r="N118" s="66"/>
      <c r="O118" s="66"/>
      <c r="P118" s="66"/>
      <c r="Q118" s="66"/>
      <c r="R118" s="25"/>
      <c r="S118" s="55"/>
      <c r="T118" s="53">
        <f t="shared" si="5"/>
        <v>208081.5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>
        <v>1206</v>
      </c>
      <c r="C119" s="25" t="s">
        <v>170</v>
      </c>
      <c r="D119" s="25" t="s">
        <v>695</v>
      </c>
      <c r="E119" s="53">
        <v>35520</v>
      </c>
      <c r="F119" s="50"/>
      <c r="G119" s="35">
        <v>296</v>
      </c>
      <c r="H119" s="35">
        <v>120</v>
      </c>
      <c r="I119" s="53">
        <v>35520</v>
      </c>
      <c r="J119" s="66"/>
      <c r="K119" s="66"/>
      <c r="L119" s="66"/>
      <c r="M119" s="66"/>
      <c r="N119" s="66"/>
      <c r="O119" s="66"/>
      <c r="P119" s="67"/>
      <c r="Q119" s="66"/>
      <c r="R119" s="25"/>
      <c r="S119" s="55"/>
      <c r="T119" s="53">
        <f t="shared" si="5"/>
        <v>172561.5</v>
      </c>
      <c r="U119" s="42"/>
      <c r="V119" s="42"/>
      <c r="W119" s="42"/>
      <c r="X119" s="42"/>
      <c r="Y119" s="42"/>
    </row>
    <row r="120" ht="15.75" customHeight="1" spans="1:25" x14ac:dyDescent="0.25">
      <c r="A120" s="25" t="s">
        <v>1225</v>
      </c>
      <c r="B120" s="35">
        <v>1207</v>
      </c>
      <c r="C120" s="25" t="s">
        <v>1226</v>
      </c>
      <c r="D120" s="25" t="s">
        <v>28</v>
      </c>
      <c r="E120" s="53">
        <v>1720</v>
      </c>
      <c r="F120" s="50"/>
      <c r="G120" s="25"/>
      <c r="H120" s="25"/>
      <c r="I120" s="65"/>
      <c r="J120" s="66"/>
      <c r="K120" s="66"/>
      <c r="L120" s="66">
        <v>1720</v>
      </c>
      <c r="M120" s="66"/>
      <c r="N120" s="66"/>
      <c r="O120" s="66"/>
      <c r="P120" s="67"/>
      <c r="Q120" s="66"/>
      <c r="R120" s="25"/>
      <c r="S120" s="55"/>
      <c r="T120" s="53">
        <f t="shared" si="5"/>
        <v>170841.5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>
        <v>1208</v>
      </c>
      <c r="C121" s="25" t="s">
        <v>1134</v>
      </c>
      <c r="D121" s="25" t="s">
        <v>270</v>
      </c>
      <c r="E121" s="53">
        <v>930</v>
      </c>
      <c r="F121" s="50"/>
      <c r="G121" s="25"/>
      <c r="H121" s="25"/>
      <c r="I121" s="65"/>
      <c r="J121" s="66"/>
      <c r="K121" s="66"/>
      <c r="L121" s="66"/>
      <c r="M121" s="66"/>
      <c r="N121" s="66">
        <v>930</v>
      </c>
      <c r="O121" s="66"/>
      <c r="P121" s="66"/>
      <c r="Q121" s="67"/>
      <c r="R121" s="25"/>
      <c r="S121" s="55"/>
      <c r="T121" s="53">
        <f t="shared" si="5"/>
        <v>169911.5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>
        <v>1209</v>
      </c>
      <c r="C122" s="25" t="s">
        <v>1227</v>
      </c>
      <c r="D122" s="25" t="s">
        <v>176</v>
      </c>
      <c r="E122" s="53">
        <v>3015</v>
      </c>
      <c r="F122" s="50"/>
      <c r="G122" s="25"/>
      <c r="H122" s="25"/>
      <c r="I122" s="65"/>
      <c r="J122" s="66"/>
      <c r="K122" s="66"/>
      <c r="L122" s="66"/>
      <c r="M122" s="66"/>
      <c r="N122" s="66">
        <v>3015</v>
      </c>
      <c r="O122" s="66"/>
      <c r="P122" s="67"/>
      <c r="Q122" s="66"/>
      <c r="R122" s="25"/>
      <c r="S122" s="55"/>
      <c r="T122" s="53">
        <f t="shared" si="5"/>
        <v>166896.5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>
        <v>1210</v>
      </c>
      <c r="C123" s="25" t="s">
        <v>1228</v>
      </c>
      <c r="D123" s="25" t="s">
        <v>1146</v>
      </c>
      <c r="E123" s="53">
        <v>920</v>
      </c>
      <c r="F123" s="50"/>
      <c r="G123" s="35"/>
      <c r="H123" s="35"/>
      <c r="I123" s="53"/>
      <c r="J123" s="66"/>
      <c r="K123" s="66"/>
      <c r="L123" s="66"/>
      <c r="M123" s="66"/>
      <c r="N123" s="66"/>
      <c r="O123" s="66"/>
      <c r="P123" s="66">
        <v>920</v>
      </c>
      <c r="Q123" s="66"/>
      <c r="R123" s="25"/>
      <c r="S123" s="36"/>
      <c r="T123" s="53">
        <f t="shared" si="5"/>
        <v>165976.5</v>
      </c>
      <c r="U123" s="42"/>
      <c r="V123" s="42"/>
      <c r="W123" s="42"/>
      <c r="X123" s="42"/>
      <c r="Y123" s="42"/>
    </row>
    <row r="124" ht="15.75" customHeight="1" spans="1:25" x14ac:dyDescent="0.25">
      <c r="A124" s="25"/>
      <c r="B124" s="35">
        <v>1211</v>
      </c>
      <c r="C124" s="25" t="s">
        <v>1229</v>
      </c>
      <c r="D124" s="25" t="s">
        <v>1146</v>
      </c>
      <c r="E124" s="53">
        <v>2604</v>
      </c>
      <c r="F124" s="50"/>
      <c r="G124" s="25"/>
      <c r="H124" s="25"/>
      <c r="I124" s="65"/>
      <c r="J124" s="66"/>
      <c r="K124" s="66"/>
      <c r="L124" s="66"/>
      <c r="M124" s="66"/>
      <c r="N124" s="66"/>
      <c r="O124" s="66"/>
      <c r="P124" s="66">
        <v>2604</v>
      </c>
      <c r="Q124" s="66"/>
      <c r="R124" s="25"/>
      <c r="S124" s="36"/>
      <c r="T124" s="53">
        <f t="shared" si="5"/>
        <v>163372.5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1212</v>
      </c>
      <c r="C125" s="25" t="s">
        <v>13</v>
      </c>
      <c r="D125" s="25" t="s">
        <v>636</v>
      </c>
      <c r="E125" s="53">
        <v>14000</v>
      </c>
      <c r="F125" s="50"/>
      <c r="G125" s="25"/>
      <c r="H125" s="25"/>
      <c r="I125" s="65"/>
      <c r="J125" s="66"/>
      <c r="K125" s="66"/>
      <c r="L125" s="66"/>
      <c r="M125" s="66"/>
      <c r="N125" s="66"/>
      <c r="O125" s="66"/>
      <c r="P125" s="66"/>
      <c r="Q125" s="66">
        <v>14000</v>
      </c>
      <c r="R125" s="25"/>
      <c r="S125" s="36"/>
      <c r="T125" s="53">
        <f t="shared" si="5"/>
        <v>149372.5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1213</v>
      </c>
      <c r="C126" s="25" t="s">
        <v>1230</v>
      </c>
      <c r="D126" s="25" t="s">
        <v>186</v>
      </c>
      <c r="E126" s="53">
        <v>3000</v>
      </c>
      <c r="F126" s="50"/>
      <c r="G126" s="25"/>
      <c r="H126" s="25"/>
      <c r="I126" s="65"/>
      <c r="J126" s="66"/>
      <c r="K126" s="66"/>
      <c r="L126" s="66"/>
      <c r="M126" s="66">
        <v>3000</v>
      </c>
      <c r="N126" s="66"/>
      <c r="O126" s="66"/>
      <c r="P126" s="66"/>
      <c r="Q126" s="66"/>
      <c r="R126" s="25"/>
      <c r="S126" s="36"/>
      <c r="T126" s="53">
        <f t="shared" si="5"/>
        <v>146372.5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>
        <v>1214</v>
      </c>
      <c r="C127" s="25" t="s">
        <v>1231</v>
      </c>
      <c r="D127" s="25" t="s">
        <v>1232</v>
      </c>
      <c r="E127" s="53">
        <v>500</v>
      </c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>
        <v>500</v>
      </c>
      <c r="Q127" s="66"/>
      <c r="R127" s="25"/>
      <c r="S127" s="36"/>
      <c r="T127" s="53">
        <f t="shared" si="5"/>
        <v>145872.5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>
        <v>1215</v>
      </c>
      <c r="C128" s="25" t="s">
        <v>1233</v>
      </c>
      <c r="D128" s="25" t="s">
        <v>1234</v>
      </c>
      <c r="E128" s="53">
        <v>2500</v>
      </c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/>
      <c r="Q128" s="66">
        <v>2500</v>
      </c>
      <c r="R128" s="25"/>
      <c r="S128" s="36"/>
      <c r="T128" s="53">
        <f t="shared" si="5"/>
        <v>143372.5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>
        <v>1216</v>
      </c>
      <c r="C129" s="25" t="s">
        <v>170</v>
      </c>
      <c r="D129" s="25" t="s">
        <v>54</v>
      </c>
      <c r="E129" s="53">
        <v>10920</v>
      </c>
      <c r="F129" s="50"/>
      <c r="G129" s="35">
        <v>91</v>
      </c>
      <c r="H129" s="35">
        <v>120</v>
      </c>
      <c r="I129" s="53">
        <v>10920</v>
      </c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5"/>
        <v>132452.5</v>
      </c>
      <c r="U129" s="42"/>
      <c r="V129" s="42"/>
      <c r="W129" s="42"/>
      <c r="X129" s="42"/>
      <c r="Y129" s="42"/>
    </row>
    <row r="130" ht="15.75" customHeight="1" spans="1:25" x14ac:dyDescent="0.25">
      <c r="A130" s="25" t="s">
        <v>1235</v>
      </c>
      <c r="B130" s="35">
        <v>1217</v>
      </c>
      <c r="C130" s="25" t="s">
        <v>170</v>
      </c>
      <c r="D130" s="25" t="s">
        <v>1234</v>
      </c>
      <c r="E130" s="53">
        <v>2160</v>
      </c>
      <c r="F130" s="50"/>
      <c r="G130" s="35">
        <v>18</v>
      </c>
      <c r="H130" s="35">
        <v>120</v>
      </c>
      <c r="I130" s="53">
        <v>2160</v>
      </c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 t="shared" si="5"/>
        <v>130292.5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>
        <v>1218</v>
      </c>
      <c r="C131" s="25" t="s">
        <v>170</v>
      </c>
      <c r="D131" s="25" t="s">
        <v>1234</v>
      </c>
      <c r="E131" s="53">
        <v>11880</v>
      </c>
      <c r="F131" s="50"/>
      <c r="G131" s="35">
        <v>99</v>
      </c>
      <c r="H131" s="35">
        <v>120</v>
      </c>
      <c r="I131" s="53">
        <v>11880</v>
      </c>
      <c r="J131" s="66"/>
      <c r="K131" s="66"/>
      <c r="L131" s="66"/>
      <c r="M131" s="66"/>
      <c r="N131" s="66"/>
      <c r="O131" s="66"/>
      <c r="P131" s="67"/>
      <c r="Q131" s="66"/>
      <c r="R131" s="25"/>
      <c r="S131" s="36"/>
      <c r="T131" s="53">
        <f t="shared" si="5"/>
        <v>118412.5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>
        <v>1219</v>
      </c>
      <c r="C132" s="25" t="s">
        <v>1236</v>
      </c>
      <c r="D132" s="25" t="s">
        <v>1237</v>
      </c>
      <c r="E132" s="53">
        <v>8000</v>
      </c>
      <c r="F132" s="50"/>
      <c r="G132" s="35"/>
      <c r="H132" s="35"/>
      <c r="I132" s="53"/>
      <c r="J132" s="66"/>
      <c r="K132" s="66"/>
      <c r="L132" s="66"/>
      <c r="M132" s="66"/>
      <c r="N132" s="66"/>
      <c r="O132" s="66"/>
      <c r="P132" s="67"/>
      <c r="Q132" s="66"/>
      <c r="R132" s="25">
        <v>8000</v>
      </c>
      <c r="S132" s="36"/>
      <c r="T132" s="53">
        <f t="shared" si="5"/>
        <v>110412.5</v>
      </c>
      <c r="U132" s="42"/>
      <c r="V132" s="42"/>
      <c r="W132" s="42"/>
      <c r="X132" s="42"/>
      <c r="Y132" s="42"/>
    </row>
    <row r="133" ht="15.75" customHeight="1" spans="1:25" x14ac:dyDescent="0.25">
      <c r="A133" s="25" t="s">
        <v>1238</v>
      </c>
      <c r="B133" s="35">
        <v>1220</v>
      </c>
      <c r="C133" s="25" t="s">
        <v>1239</v>
      </c>
      <c r="D133" s="25" t="s">
        <v>1131</v>
      </c>
      <c r="E133" s="53">
        <v>2200</v>
      </c>
      <c r="F133" s="50"/>
      <c r="G133" s="35"/>
      <c r="H133" s="35"/>
      <c r="I133" s="53"/>
      <c r="J133" s="66"/>
      <c r="K133" s="66"/>
      <c r="L133" s="66"/>
      <c r="M133" s="67"/>
      <c r="N133" s="66">
        <v>2200</v>
      </c>
      <c r="O133" s="66"/>
      <c r="P133" s="66"/>
      <c r="Q133" s="66"/>
      <c r="R133" s="25"/>
      <c r="S133" s="36"/>
      <c r="T133" s="53">
        <f t="shared" si="5"/>
        <v>108212.5</v>
      </c>
      <c r="U133" s="42"/>
      <c r="V133" s="42"/>
      <c r="W133" s="42"/>
      <c r="X133" s="42"/>
      <c r="Y133" s="42"/>
    </row>
    <row r="134" ht="15.75" customHeight="1" spans="1:25" x14ac:dyDescent="0.25">
      <c r="A134" s="25"/>
      <c r="B134" s="35">
        <v>1221</v>
      </c>
      <c r="C134" s="25" t="s">
        <v>1240</v>
      </c>
      <c r="D134" s="25" t="s">
        <v>1131</v>
      </c>
      <c r="E134" s="53">
        <v>1830</v>
      </c>
      <c r="F134" s="50"/>
      <c r="G134" s="35"/>
      <c r="H134" s="35"/>
      <c r="I134" s="53"/>
      <c r="J134" s="66"/>
      <c r="K134" s="67"/>
      <c r="L134" s="66"/>
      <c r="M134" s="66"/>
      <c r="N134" s="66">
        <v>1830</v>
      </c>
      <c r="O134" s="66"/>
      <c r="P134" s="66"/>
      <c r="Q134" s="66"/>
      <c r="R134" s="25"/>
      <c r="S134" s="36"/>
      <c r="T134" s="53">
        <f t="shared" si="5"/>
        <v>106382.5</v>
      </c>
      <c r="U134" s="42"/>
      <c r="V134" s="42"/>
      <c r="W134" s="42"/>
      <c r="X134" s="42"/>
      <c r="Y134" s="42"/>
    </row>
    <row r="135" ht="15.75" customHeight="1" spans="1:25" x14ac:dyDescent="0.25">
      <c r="A135" s="25"/>
      <c r="B135" s="35">
        <v>1222</v>
      </c>
      <c r="C135" s="25" t="s">
        <v>1241</v>
      </c>
      <c r="D135" s="25" t="s">
        <v>1176</v>
      </c>
      <c r="E135" s="53">
        <v>620</v>
      </c>
      <c r="F135" s="50"/>
      <c r="G135" s="25"/>
      <c r="H135" s="25"/>
      <c r="I135" s="65"/>
      <c r="J135" s="66"/>
      <c r="K135" s="66"/>
      <c r="L135" s="66"/>
      <c r="M135" s="66"/>
      <c r="N135" s="66"/>
      <c r="O135" s="66"/>
      <c r="P135" s="67">
        <v>620</v>
      </c>
      <c r="Q135" s="66"/>
      <c r="R135" s="25"/>
      <c r="S135" s="36"/>
      <c r="T135" s="53">
        <f t="shared" si="5"/>
        <v>105762.5</v>
      </c>
      <c r="U135" s="42"/>
      <c r="V135" s="42"/>
      <c r="W135" s="42"/>
      <c r="X135" s="42"/>
      <c r="Y135" s="42"/>
    </row>
    <row r="136" ht="15.75" customHeight="1" spans="1:25" x14ac:dyDescent="0.25">
      <c r="A136" s="25"/>
      <c r="B136" s="35">
        <v>1223</v>
      </c>
      <c r="C136" s="25" t="s">
        <v>1242</v>
      </c>
      <c r="D136" s="25" t="s">
        <v>1243</v>
      </c>
      <c r="E136" s="53">
        <v>1000</v>
      </c>
      <c r="F136" s="50"/>
      <c r="G136" s="25"/>
      <c r="H136" s="25"/>
      <c r="I136" s="65"/>
      <c r="J136" s="66"/>
      <c r="K136" s="66"/>
      <c r="L136" s="66"/>
      <c r="M136" s="66">
        <v>1000</v>
      </c>
      <c r="N136" s="66"/>
      <c r="O136" s="66"/>
      <c r="P136" s="66"/>
      <c r="Q136" s="66"/>
      <c r="R136" s="35"/>
      <c r="S136" s="36"/>
      <c r="T136" s="53">
        <f t="shared" si="5"/>
        <v>104762.5</v>
      </c>
      <c r="U136" s="42"/>
      <c r="V136" s="42"/>
      <c r="W136" s="42"/>
      <c r="X136" s="42"/>
      <c r="Y136" s="42"/>
    </row>
    <row r="137" ht="15.75" customHeight="1" spans="1:25" x14ac:dyDescent="0.25">
      <c r="A137" s="25"/>
      <c r="B137" s="35">
        <v>1224</v>
      </c>
      <c r="C137" s="25" t="s">
        <v>1244</v>
      </c>
      <c r="D137" s="25" t="s">
        <v>618</v>
      </c>
      <c r="E137" s="53">
        <v>720</v>
      </c>
      <c r="F137" s="50"/>
      <c r="G137" s="35">
        <v>6</v>
      </c>
      <c r="H137" s="35">
        <v>120</v>
      </c>
      <c r="I137" s="53">
        <v>720</v>
      </c>
      <c r="J137" s="66"/>
      <c r="K137" s="66"/>
      <c r="L137" s="66"/>
      <c r="M137" s="66"/>
      <c r="N137" s="66"/>
      <c r="O137" s="66"/>
      <c r="P137" s="66"/>
      <c r="Q137" s="66"/>
      <c r="R137" s="25"/>
      <c r="S137" s="36"/>
      <c r="T137" s="53">
        <f t="shared" si="5"/>
        <v>104042.5</v>
      </c>
      <c r="U137" s="42"/>
      <c r="V137" s="42"/>
      <c r="W137" s="42"/>
      <c r="X137" s="42"/>
      <c r="Y137" s="42"/>
    </row>
    <row r="138" ht="15.75" customHeight="1" spans="1:25" x14ac:dyDescent="0.25">
      <c r="A138" s="25" t="s">
        <v>1245</v>
      </c>
      <c r="B138" s="35">
        <v>1225</v>
      </c>
      <c r="C138" s="25" t="s">
        <v>1203</v>
      </c>
      <c r="D138" s="25" t="s">
        <v>817</v>
      </c>
      <c r="E138" s="53">
        <v>600</v>
      </c>
      <c r="F138" s="50"/>
      <c r="G138" s="35"/>
      <c r="H138" s="35"/>
      <c r="I138" s="53"/>
      <c r="J138" s="66"/>
      <c r="K138" s="66"/>
      <c r="L138" s="66"/>
      <c r="M138" s="66"/>
      <c r="N138" s="66"/>
      <c r="O138" s="66"/>
      <c r="P138" s="66"/>
      <c r="Q138" s="66"/>
      <c r="R138" s="25">
        <v>600</v>
      </c>
      <c r="S138" s="36"/>
      <c r="T138" s="53">
        <f t="shared" si="5"/>
        <v>103442.5</v>
      </c>
      <c r="U138" s="42"/>
      <c r="V138" s="42"/>
      <c r="W138" s="42"/>
      <c r="X138" s="42"/>
      <c r="Y138" s="42"/>
    </row>
    <row r="139" ht="15.75" customHeight="1" spans="1:25" x14ac:dyDescent="0.25">
      <c r="A139" s="25"/>
      <c r="B139" s="35">
        <v>1226</v>
      </c>
      <c r="C139" s="25" t="s">
        <v>1167</v>
      </c>
      <c r="D139" s="25" t="s">
        <v>176</v>
      </c>
      <c r="E139" s="53">
        <v>250</v>
      </c>
      <c r="F139" s="50"/>
      <c r="G139" s="25"/>
      <c r="H139" s="25"/>
      <c r="I139" s="65"/>
      <c r="J139" s="66"/>
      <c r="K139" s="66"/>
      <c r="L139" s="66"/>
      <c r="M139" s="66"/>
      <c r="N139" s="66">
        <v>250</v>
      </c>
      <c r="O139" s="66"/>
      <c r="P139" s="67"/>
      <c r="Q139" s="66"/>
      <c r="R139" s="25"/>
      <c r="S139" s="36"/>
      <c r="T139" s="53">
        <f t="shared" si="5"/>
        <v>103192.5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>
        <v>1227</v>
      </c>
      <c r="C140" s="25" t="s">
        <v>170</v>
      </c>
      <c r="D140" s="25" t="s">
        <v>618</v>
      </c>
      <c r="E140" s="53">
        <v>5880</v>
      </c>
      <c r="F140" s="50"/>
      <c r="G140" s="35">
        <v>49</v>
      </c>
      <c r="H140" s="35">
        <v>120</v>
      </c>
      <c r="I140" s="53">
        <v>5880</v>
      </c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5"/>
        <v>97312.5</v>
      </c>
      <c r="U140" s="42"/>
      <c r="V140" s="42"/>
      <c r="W140" s="42"/>
      <c r="X140" s="42"/>
      <c r="Y140" s="42"/>
    </row>
    <row r="141" ht="15.75" customHeight="1" spans="1:25" x14ac:dyDescent="0.25">
      <c r="A141" s="25" t="s">
        <v>1246</v>
      </c>
      <c r="B141" s="35">
        <v>1228</v>
      </c>
      <c r="C141" s="25" t="s">
        <v>1247</v>
      </c>
      <c r="D141" s="25" t="s">
        <v>1248</v>
      </c>
      <c r="E141" s="53">
        <v>3000</v>
      </c>
      <c r="F141" s="50"/>
      <c r="G141" s="25"/>
      <c r="H141" s="25"/>
      <c r="I141" s="65"/>
      <c r="J141" s="66"/>
      <c r="K141" s="66"/>
      <c r="L141" s="66"/>
      <c r="M141" s="67"/>
      <c r="N141" s="66"/>
      <c r="O141" s="66"/>
      <c r="P141" s="66">
        <v>3000</v>
      </c>
      <c r="Q141" s="66"/>
      <c r="R141" s="25"/>
      <c r="S141" s="36"/>
      <c r="T141" s="53">
        <f t="shared" si="5"/>
        <v>94312.5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>
        <v>1229</v>
      </c>
      <c r="C142" s="25" t="s">
        <v>170</v>
      </c>
      <c r="D142" s="25" t="s">
        <v>69</v>
      </c>
      <c r="E142" s="53">
        <v>2400</v>
      </c>
      <c r="F142" s="50"/>
      <c r="G142" s="35">
        <v>20</v>
      </c>
      <c r="H142" s="35">
        <v>120</v>
      </c>
      <c r="I142" s="53">
        <v>2400</v>
      </c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5"/>
        <v>91912.5</v>
      </c>
      <c r="U142" s="42"/>
      <c r="V142" s="42"/>
      <c r="W142" s="42"/>
      <c r="X142" s="42"/>
      <c r="Y142" s="42"/>
    </row>
    <row r="143" ht="15.75" customHeight="1" spans="1:25" x14ac:dyDescent="0.25">
      <c r="A143" s="25" t="s">
        <v>1249</v>
      </c>
      <c r="B143" s="35">
        <v>1230</v>
      </c>
      <c r="C143" s="25" t="s">
        <v>1250</v>
      </c>
      <c r="D143" s="25" t="s">
        <v>270</v>
      </c>
      <c r="E143" s="53">
        <v>2700</v>
      </c>
      <c r="F143" s="50"/>
      <c r="G143" s="25"/>
      <c r="H143" s="25"/>
      <c r="I143" s="65"/>
      <c r="J143" s="66"/>
      <c r="K143" s="66"/>
      <c r="L143" s="66"/>
      <c r="M143" s="66"/>
      <c r="N143" s="66">
        <v>2700</v>
      </c>
      <c r="O143" s="66"/>
      <c r="P143" s="66"/>
      <c r="Q143" s="67"/>
      <c r="R143" s="25"/>
      <c r="S143" s="36"/>
      <c r="T143" s="53">
        <f t="shared" si="5"/>
        <v>89212.5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>
        <v>1231</v>
      </c>
      <c r="C144" s="25" t="s">
        <v>1251</v>
      </c>
      <c r="D144" s="25" t="s">
        <v>1252</v>
      </c>
      <c r="E144" s="53">
        <v>1200</v>
      </c>
      <c r="F144" s="50"/>
      <c r="G144" s="25"/>
      <c r="H144" s="35"/>
      <c r="I144" s="53"/>
      <c r="J144" s="66"/>
      <c r="K144" s="66"/>
      <c r="L144" s="66"/>
      <c r="M144" s="66"/>
      <c r="N144" s="66">
        <v>1200</v>
      </c>
      <c r="O144" s="66"/>
      <c r="P144" s="66"/>
      <c r="Q144" s="66"/>
      <c r="R144" s="25"/>
      <c r="S144" s="36"/>
      <c r="T144" s="53">
        <f t="shared" si="5"/>
        <v>88012.5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>
        <v>1232</v>
      </c>
      <c r="C145" s="25" t="s">
        <v>170</v>
      </c>
      <c r="D145" s="25" t="s">
        <v>200</v>
      </c>
      <c r="E145" s="53">
        <v>28320</v>
      </c>
      <c r="F145" s="50"/>
      <c r="G145" s="35">
        <v>236</v>
      </c>
      <c r="H145" s="35">
        <v>120</v>
      </c>
      <c r="I145" s="53">
        <v>28320</v>
      </c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5"/>
        <v>59692.5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3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/>
      <c r="U146" s="42"/>
      <c r="V146" s="42"/>
      <c r="W146" s="42"/>
      <c r="X146" s="42"/>
      <c r="Y146" s="42"/>
    </row>
    <row r="147" ht="15.75" customHeight="1" spans="1:26" x14ac:dyDescent="0.25">
      <c r="A147" s="65"/>
      <c r="B147" s="53"/>
      <c r="C147" s="65"/>
      <c r="D147" s="65"/>
      <c r="E147" s="53">
        <f>SUM(E101:E145)</f>
        <v>255444</v>
      </c>
      <c r="F147" s="50"/>
      <c r="G147" s="53">
        <f t="shared" ref="G147:R147" si="6">SUM(G4:G145)</f>
        <v>4593.3</v>
      </c>
      <c r="H147" s="53">
        <f t="shared" si="6"/>
        <v>7320</v>
      </c>
      <c r="I147" s="53">
        <f t="shared" si="6"/>
        <v>511650</v>
      </c>
      <c r="J147" s="53">
        <f t="shared" si="6"/>
        <v>0</v>
      </c>
      <c r="K147" s="53">
        <f t="shared" si="6"/>
        <v>11500</v>
      </c>
      <c r="L147" s="53">
        <f t="shared" si="6"/>
        <v>6650</v>
      </c>
      <c r="M147" s="53">
        <f t="shared" si="6"/>
        <v>6200</v>
      </c>
      <c r="N147" s="53">
        <f t="shared" si="6"/>
        <v>22805</v>
      </c>
      <c r="O147" s="53">
        <f t="shared" si="6"/>
        <v>2860</v>
      </c>
      <c r="P147" s="53">
        <f t="shared" si="6"/>
        <v>21806</v>
      </c>
      <c r="Q147" s="53">
        <f t="shared" si="6"/>
        <v>33500</v>
      </c>
      <c r="R147" s="53">
        <f t="shared" si="6"/>
        <v>44265</v>
      </c>
      <c r="S147" s="50"/>
      <c r="T147" s="53">
        <f>SUM(B147:R147)-7320</f>
        <v>921273.3</v>
      </c>
      <c r="U147" s="58"/>
      <c r="V147" s="58"/>
      <c r="W147" s="58"/>
      <c r="X147" s="58"/>
      <c r="Y147" s="58"/>
      <c r="Z147" s="91"/>
    </row>
    <row r="148" ht="15.75" customHeight="1" spans="1:25" x14ac:dyDescent="0.25">
      <c r="A148" s="25"/>
      <c r="B148" s="35"/>
      <c r="C148" s="25"/>
      <c r="D148" s="25"/>
      <c r="E148" s="53"/>
      <c r="F148" s="68"/>
      <c r="G148" s="2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/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25"/>
      <c r="H149" s="35"/>
      <c r="I149" s="53"/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ref="T149:T176" si="7">T148-E149</f>
        <v>0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50"/>
      <c r="G150" s="35"/>
      <c r="H150" s="25"/>
      <c r="I150" s="65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7"/>
        <v>0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50"/>
      <c r="G151" s="2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 t="shared" si="7"/>
        <v>0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7"/>
        <v>0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7"/>
        <v>0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7"/>
        <v>0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7"/>
        <v>0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7"/>
      <c r="K156" s="67"/>
      <c r="L156" s="67"/>
      <c r="M156" s="67"/>
      <c r="N156" s="67"/>
      <c r="O156" s="67"/>
      <c r="P156" s="67"/>
      <c r="Q156" s="67"/>
      <c r="R156" s="53"/>
      <c r="S156" s="36"/>
      <c r="T156" s="53">
        <f t="shared" si="7"/>
        <v>0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25"/>
      <c r="H157" s="26"/>
      <c r="I157" s="70"/>
      <c r="J157" s="71"/>
      <c r="K157" s="71"/>
      <c r="L157" s="71"/>
      <c r="M157" s="71"/>
      <c r="N157" s="71"/>
      <c r="O157" s="71"/>
      <c r="P157" s="71"/>
      <c r="Q157" s="71"/>
      <c r="R157" s="26"/>
      <c r="S157" s="37"/>
      <c r="T157" s="56">
        <f t="shared" si="7"/>
        <v>0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3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6">
        <f t="shared" si="7"/>
        <v>0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6">
        <f t="shared" si="7"/>
        <v>0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6">
        <f t="shared" si="7"/>
        <v>0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3"/>
      <c r="D161" s="25"/>
      <c r="E161" s="53"/>
      <c r="F161" s="50"/>
      <c r="G161" s="2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6">
        <f t="shared" si="7"/>
        <v>0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7"/>
        <v>0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3"/>
      <c r="E163" s="54"/>
      <c r="F163" s="50"/>
      <c r="G163" s="3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7"/>
        <v>0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7"/>
        <v>0</v>
      </c>
      <c r="U164" s="42"/>
      <c r="V164" s="42"/>
      <c r="W164" s="42"/>
      <c r="X164" s="42"/>
      <c r="Y164" s="42"/>
    </row>
    <row r="165" ht="15.75" customHeight="1" spans="1:25" x14ac:dyDescent="0.25">
      <c r="A165" s="40"/>
      <c r="B165" s="35"/>
      <c r="C165" s="72"/>
      <c r="D165" s="40"/>
      <c r="E165" s="53"/>
      <c r="F165" s="50"/>
      <c r="G165" s="25"/>
      <c r="H165" s="25"/>
      <c r="I165" s="53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7"/>
        <v>0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7"/>
        <v>0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3"/>
      <c r="D167" s="72"/>
      <c r="E167" s="54"/>
      <c r="F167" s="50"/>
      <c r="G167" s="35"/>
      <c r="H167" s="3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7"/>
        <v>0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2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7"/>
        <v>0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40"/>
      <c r="E169" s="53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7"/>
        <v>0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7"/>
        <v>0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40"/>
      <c r="D171" s="72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7"/>
        <v>0</v>
      </c>
      <c r="U171" s="42"/>
      <c r="V171" s="42"/>
      <c r="W171" s="42"/>
      <c r="X171" s="42"/>
      <c r="Y171" s="42"/>
    </row>
    <row r="172" ht="15.75" customHeight="1" spans="1:25" x14ac:dyDescent="0.25">
      <c r="A172" s="40"/>
      <c r="B172" s="35"/>
      <c r="C172" s="40"/>
      <c r="D172" s="40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7"/>
        <v>0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40"/>
      <c r="D173" s="72"/>
      <c r="E173" s="54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7"/>
        <v>0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3"/>
      <c r="D174" s="23"/>
      <c r="E174" s="54"/>
      <c r="F174" s="50"/>
      <c r="G174" s="26"/>
      <c r="H174" s="26"/>
      <c r="I174" s="70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7"/>
        <v>0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5"/>
      <c r="E175" s="53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7"/>
        <v>0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7"/>
        <v>0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68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>T176-E177+16000</f>
        <v>16000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7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 t="shared" ref="T178:T179" si="8">T177-E178</f>
        <v>16000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si="8"/>
        <v>16000</v>
      </c>
      <c r="U179" s="42"/>
      <c r="V179" s="42"/>
      <c r="W179" s="42"/>
      <c r="X179" s="42"/>
      <c r="Y179" s="42"/>
    </row>
    <row r="180" ht="15.75" customHeight="1" spans="1:25" x14ac:dyDescent="0.25">
      <c r="A180" s="40"/>
      <c r="B180" s="25"/>
      <c r="C180" s="40"/>
      <c r="D180" s="25"/>
      <c r="E180" s="53"/>
      <c r="F180" s="68"/>
      <c r="G180" s="35"/>
      <c r="H180" s="35"/>
      <c r="I180" s="53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>T179-E180+120000</f>
        <v>136000</v>
      </c>
      <c r="U180" s="42"/>
      <c r="V180" s="42"/>
      <c r="W180" s="42"/>
      <c r="X180" s="42"/>
      <c r="Y180" s="42"/>
    </row>
    <row r="181" ht="15.75" customHeight="1" spans="1:25" x14ac:dyDescent="0.25">
      <c r="A181" s="26"/>
      <c r="B181" s="29"/>
      <c r="C181" s="38"/>
      <c r="D181" s="38"/>
      <c r="E181" s="56"/>
      <c r="F181" s="57"/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 t="shared" ref="T181:T213" si="9">T180-E181</f>
        <v>136000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si="9"/>
        <v>136000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56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9"/>
        <v>136000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70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9"/>
        <v>136000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56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9"/>
        <v>136000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9"/>
        <v>136000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9"/>
        <v>136000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9"/>
      <c r="H188" s="29"/>
      <c r="I188" s="56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9"/>
        <v>136000</v>
      </c>
      <c r="U188" s="42"/>
      <c r="V188" s="42"/>
      <c r="W188" s="42"/>
      <c r="X188" s="42"/>
      <c r="Y188" s="42"/>
    </row>
    <row r="189" ht="15.75" customHeight="1" spans="1:25" x14ac:dyDescent="0.25">
      <c r="A189" s="40"/>
      <c r="B189" s="35"/>
      <c r="C189" s="40"/>
      <c r="D189" s="40"/>
      <c r="E189" s="53"/>
      <c r="F189" s="50"/>
      <c r="G189" s="25"/>
      <c r="H189" s="25"/>
      <c r="I189" s="65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9"/>
        <v>136000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53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9"/>
        <v>136000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9"/>
        <v>136000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9"/>
        <v>136000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9"/>
        <v>136000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9"/>
        <v>136000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9"/>
        <v>136000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9"/>
        <v>136000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9"/>
        <v>136000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9"/>
        <v>136000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9"/>
        <v>136000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9"/>
        <v>136000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9"/>
        <v>136000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9"/>
        <v>136000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9"/>
        <v>136000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9"/>
        <v>136000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9"/>
        <v>136000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9"/>
        <v>136000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9"/>
        <v>136000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9"/>
        <v>136000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9"/>
        <v>136000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9"/>
        <v>136000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9"/>
        <v>136000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9"/>
        <v>136000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9"/>
        <v>136000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>T213-E214+75000</f>
        <v>211000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ref="T215:T226" si="10">T214-E215</f>
        <v>211000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10"/>
        <v>211000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10"/>
        <v>211000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10"/>
        <v>211000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10"/>
        <v>211000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10"/>
        <v>211000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10"/>
        <v>211000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10"/>
        <v>211000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10"/>
        <v>211000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10"/>
        <v>211000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10"/>
        <v>211000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10"/>
        <v>211000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322000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11">T227-E228</f>
        <v>322000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11"/>
        <v>322000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11"/>
        <v>322000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11"/>
        <v>322000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11"/>
        <v>322000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11"/>
        <v>322000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11"/>
        <v>322000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11"/>
        <v>322000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11"/>
        <v>322000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11"/>
        <v>322000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11"/>
        <v>322000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11"/>
        <v>322000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11"/>
        <v>322000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11"/>
        <v>322000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11"/>
        <v>322000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11"/>
        <v>322000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11"/>
        <v>322000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11"/>
        <v>322000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11"/>
        <v>322000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11"/>
        <v>322000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11"/>
        <v>322000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11"/>
        <v>322000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11"/>
        <v>322000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11"/>
        <v>322000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11"/>
        <v>322000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11"/>
        <v>322000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11"/>
        <v>322000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11"/>
        <v>322000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11"/>
        <v>322000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11"/>
        <v>322000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367000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12">T258-E259</f>
        <v>367000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12"/>
        <v>367000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12"/>
        <v>367000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hyperlinks>
    <hyperlink ref="D9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9.4414062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8.109375" customWidth="1"/>
    <col min="11" max="11" width="10.21875" customWidth="1"/>
    <col min="12" max="12" width="8.33203125" customWidth="1"/>
    <col min="13" max="13" width="5" customWidth="1"/>
    <col min="15" max="15" width="10.21875" customWidth="1"/>
    <col min="17" max="17" width="10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1253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59692.5</v>
      </c>
      <c r="U3" s="42"/>
      <c r="V3" s="42"/>
      <c r="W3" s="42"/>
      <c r="X3" s="42"/>
      <c r="Y3" s="42"/>
    </row>
    <row r="4" ht="15.75" customHeight="1" spans="1:25" x14ac:dyDescent="0.25">
      <c r="A4" s="25"/>
      <c r="B4" s="35">
        <v>1233</v>
      </c>
      <c r="C4" s="25" t="s">
        <v>170</v>
      </c>
      <c r="D4" s="25" t="s">
        <v>618</v>
      </c>
      <c r="E4" s="53">
        <v>5280</v>
      </c>
      <c r="F4" s="50"/>
      <c r="G4" s="35">
        <v>44</v>
      </c>
      <c r="H4" s="35">
        <v>120</v>
      </c>
      <c r="I4" s="53">
        <v>5280</v>
      </c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 t="shared" ref="T4:T19" si="0">T3-E4</f>
        <v>54412.5</v>
      </c>
      <c r="U4" s="42"/>
      <c r="V4" s="42"/>
      <c r="W4" s="42"/>
      <c r="X4" s="42"/>
      <c r="Y4" s="42"/>
    </row>
    <row r="5" ht="15.75" customHeight="1" spans="1:25" x14ac:dyDescent="0.25">
      <c r="A5" s="25"/>
      <c r="B5" s="35">
        <v>1234</v>
      </c>
      <c r="C5" s="25" t="s">
        <v>170</v>
      </c>
      <c r="D5" s="25" t="s">
        <v>420</v>
      </c>
      <c r="E5" s="53">
        <v>720</v>
      </c>
      <c r="F5" s="50"/>
      <c r="G5" s="35">
        <v>6</v>
      </c>
      <c r="H5" s="35">
        <v>120</v>
      </c>
      <c r="I5" s="53">
        <v>720</v>
      </c>
      <c r="J5" s="66"/>
      <c r="K5" s="66"/>
      <c r="L5" s="66"/>
      <c r="M5" s="66"/>
      <c r="N5" s="66"/>
      <c r="O5" s="66"/>
      <c r="P5" s="66"/>
      <c r="Q5" s="66"/>
      <c r="R5" s="25"/>
      <c r="S5" s="36"/>
      <c r="T5" s="53">
        <f t="shared" si="0"/>
        <v>53692.5</v>
      </c>
      <c r="U5" s="42"/>
      <c r="V5" s="42"/>
      <c r="W5" s="42"/>
      <c r="X5" s="42"/>
      <c r="Y5" s="42"/>
    </row>
    <row r="6" ht="15.75" customHeight="1" spans="1:25" x14ac:dyDescent="0.25">
      <c r="A6" s="25" t="s">
        <v>1254</v>
      </c>
      <c r="B6" s="35">
        <v>1235</v>
      </c>
      <c r="C6" s="25" t="s">
        <v>1203</v>
      </c>
      <c r="D6" s="25" t="s">
        <v>1158</v>
      </c>
      <c r="E6" s="53">
        <v>750</v>
      </c>
      <c r="F6" s="50"/>
      <c r="G6" s="35"/>
      <c r="H6" s="35"/>
      <c r="I6" s="53"/>
      <c r="J6" s="66"/>
      <c r="K6" s="66"/>
      <c r="L6" s="66"/>
      <c r="M6" s="66"/>
      <c r="N6" s="66"/>
      <c r="O6" s="66"/>
      <c r="P6" s="66"/>
      <c r="Q6" s="66"/>
      <c r="R6" s="25">
        <v>750</v>
      </c>
      <c r="S6" s="36"/>
      <c r="T6" s="53">
        <f t="shared" si="0"/>
        <v>52942.5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1236</v>
      </c>
      <c r="C7" s="25" t="s">
        <v>1251</v>
      </c>
      <c r="D7" s="25" t="s">
        <v>1252</v>
      </c>
      <c r="E7" s="53">
        <v>1200</v>
      </c>
      <c r="F7" s="50"/>
      <c r="G7" s="25"/>
      <c r="H7" s="25"/>
      <c r="I7" s="53"/>
      <c r="J7" s="66"/>
      <c r="K7" s="66"/>
      <c r="L7" s="66"/>
      <c r="M7" s="67"/>
      <c r="N7" s="66">
        <v>1200</v>
      </c>
      <c r="O7" s="66"/>
      <c r="P7" s="66"/>
      <c r="Q7" s="66"/>
      <c r="R7" s="25"/>
      <c r="S7" s="36"/>
      <c r="T7" s="53">
        <f t="shared" si="0"/>
        <v>51742.5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1237</v>
      </c>
      <c r="C8" s="25" t="s">
        <v>1255</v>
      </c>
      <c r="D8" s="25" t="s">
        <v>1256</v>
      </c>
      <c r="E8" s="53">
        <v>1930</v>
      </c>
      <c r="F8" s="50"/>
      <c r="G8" s="25"/>
      <c r="H8" s="25"/>
      <c r="I8" s="53"/>
      <c r="J8" s="66"/>
      <c r="K8" s="66"/>
      <c r="L8" s="66">
        <v>1930</v>
      </c>
      <c r="M8" s="66"/>
      <c r="N8" s="66"/>
      <c r="O8" s="66"/>
      <c r="P8" s="67"/>
      <c r="Q8" s="66"/>
      <c r="R8" s="25"/>
      <c r="S8" s="36"/>
      <c r="T8" s="53">
        <f t="shared" si="0"/>
        <v>49812.5</v>
      </c>
      <c r="U8" s="42"/>
      <c r="V8" s="42"/>
      <c r="W8" s="42"/>
      <c r="X8" s="42"/>
      <c r="Y8" s="42"/>
    </row>
    <row r="9" ht="15.75" customHeight="1" spans="1:25" x14ac:dyDescent="0.25">
      <c r="A9" s="25"/>
      <c r="B9" s="35">
        <v>1238</v>
      </c>
      <c r="C9" s="25" t="s">
        <v>170</v>
      </c>
      <c r="D9" s="25" t="s">
        <v>69</v>
      </c>
      <c r="E9" s="53">
        <v>1680</v>
      </c>
      <c r="F9" s="50"/>
      <c r="G9" s="35">
        <v>14</v>
      </c>
      <c r="H9" s="35">
        <v>120</v>
      </c>
      <c r="I9" s="53">
        <v>1680</v>
      </c>
      <c r="J9" s="66"/>
      <c r="K9" s="66"/>
      <c r="L9" s="66"/>
      <c r="M9" s="66"/>
      <c r="N9" s="66"/>
      <c r="O9" s="66"/>
      <c r="P9" s="66"/>
      <c r="Q9" s="66"/>
      <c r="R9" s="25"/>
      <c r="S9" s="36"/>
      <c r="T9" s="53">
        <f t="shared" si="0"/>
        <v>48132.5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1239</v>
      </c>
      <c r="C10" s="25" t="s">
        <v>1186</v>
      </c>
      <c r="D10" s="25" t="s">
        <v>1257</v>
      </c>
      <c r="E10" s="53">
        <v>2800</v>
      </c>
      <c r="F10" s="50"/>
      <c r="G10" s="35">
        <v>28</v>
      </c>
      <c r="H10" s="35">
        <v>100</v>
      </c>
      <c r="I10" s="53">
        <v>2800</v>
      </c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 t="shared" si="0"/>
        <v>45332.5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1240</v>
      </c>
      <c r="C11" s="25" t="s">
        <v>170</v>
      </c>
      <c r="D11" s="25" t="s">
        <v>1200</v>
      </c>
      <c r="E11" s="53">
        <v>12240</v>
      </c>
      <c r="F11" s="50"/>
      <c r="G11" s="35">
        <v>102</v>
      </c>
      <c r="H11" s="35">
        <v>120</v>
      </c>
      <c r="I11" s="53">
        <v>12240</v>
      </c>
      <c r="J11" s="66"/>
      <c r="K11" s="66"/>
      <c r="L11" s="67"/>
      <c r="M11" s="66"/>
      <c r="N11" s="66"/>
      <c r="O11" s="66"/>
      <c r="P11" s="66"/>
      <c r="Q11" s="66"/>
      <c r="R11" s="25"/>
      <c r="S11" s="36"/>
      <c r="T11" s="53">
        <f t="shared" si="0"/>
        <v>33092.5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1241</v>
      </c>
      <c r="C12" s="25" t="s">
        <v>170</v>
      </c>
      <c r="D12" s="25" t="s">
        <v>54</v>
      </c>
      <c r="E12" s="53">
        <v>5400</v>
      </c>
      <c r="F12" s="50"/>
      <c r="G12" s="35">
        <v>45</v>
      </c>
      <c r="H12" s="35">
        <v>120</v>
      </c>
      <c r="I12" s="53">
        <v>5400</v>
      </c>
      <c r="J12" s="66"/>
      <c r="K12" s="66"/>
      <c r="L12" s="66"/>
      <c r="M12" s="66"/>
      <c r="N12" s="66"/>
      <c r="O12" s="66"/>
      <c r="P12" s="66"/>
      <c r="Q12" s="66"/>
      <c r="R12" s="25"/>
      <c r="S12" s="36"/>
      <c r="T12" s="53">
        <f t="shared" si="0"/>
        <v>27692.5</v>
      </c>
      <c r="U12" s="42"/>
      <c r="V12" s="42"/>
      <c r="W12" s="42"/>
      <c r="X12" s="42"/>
      <c r="Y12" s="42"/>
    </row>
    <row r="13" ht="15.75" customHeight="1" spans="1:25" x14ac:dyDescent="0.25">
      <c r="A13" s="25"/>
      <c r="B13" s="35">
        <v>1242</v>
      </c>
      <c r="C13" s="25" t="s">
        <v>170</v>
      </c>
      <c r="D13" s="25" t="s">
        <v>200</v>
      </c>
      <c r="E13" s="53">
        <v>14760</v>
      </c>
      <c r="F13" s="50"/>
      <c r="G13" s="35">
        <v>123</v>
      </c>
      <c r="H13" s="35">
        <v>120</v>
      </c>
      <c r="I13" s="53">
        <v>14760</v>
      </c>
      <c r="J13" s="66"/>
      <c r="K13" s="66"/>
      <c r="L13" s="66"/>
      <c r="M13" s="66"/>
      <c r="N13" s="66"/>
      <c r="O13" s="66"/>
      <c r="P13" s="66"/>
      <c r="Q13" s="66"/>
      <c r="R13" s="25"/>
      <c r="S13" s="36"/>
      <c r="T13" s="53">
        <f t="shared" si="0"/>
        <v>12932.5</v>
      </c>
      <c r="U13" s="42"/>
      <c r="V13" s="42"/>
      <c r="W13" s="42"/>
      <c r="X13" s="42"/>
      <c r="Y13" s="42"/>
    </row>
    <row r="14" ht="15.75" customHeight="1" spans="1:25" x14ac:dyDescent="0.25">
      <c r="A14" s="25" t="s">
        <v>1258</v>
      </c>
      <c r="B14" s="35">
        <v>1243</v>
      </c>
      <c r="C14" s="25" t="s">
        <v>1259</v>
      </c>
      <c r="D14" s="25" t="s">
        <v>1260</v>
      </c>
      <c r="E14" s="53">
        <v>1220</v>
      </c>
      <c r="F14" s="50"/>
      <c r="G14" s="35"/>
      <c r="H14" s="35"/>
      <c r="I14" s="53"/>
      <c r="J14" s="66"/>
      <c r="K14" s="66"/>
      <c r="L14" s="66"/>
      <c r="M14" s="66"/>
      <c r="N14" s="66"/>
      <c r="O14" s="66"/>
      <c r="P14" s="66">
        <v>1220</v>
      </c>
      <c r="Q14" s="66"/>
      <c r="R14" s="25"/>
      <c r="S14" s="36"/>
      <c r="T14" s="53">
        <f t="shared" si="0"/>
        <v>11712.5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1244</v>
      </c>
      <c r="C15" s="25" t="s">
        <v>170</v>
      </c>
      <c r="D15" s="25" t="s">
        <v>618</v>
      </c>
      <c r="E15" s="53">
        <v>5160</v>
      </c>
      <c r="F15" s="50"/>
      <c r="G15" s="35">
        <v>43</v>
      </c>
      <c r="H15" s="35">
        <v>120</v>
      </c>
      <c r="I15" s="53">
        <v>5160</v>
      </c>
      <c r="J15" s="66"/>
      <c r="K15" s="66"/>
      <c r="L15" s="66"/>
      <c r="M15" s="66"/>
      <c r="N15" s="66"/>
      <c r="O15" s="66"/>
      <c r="P15" s="66"/>
      <c r="Q15" s="67"/>
      <c r="R15" s="25"/>
      <c r="S15" s="36"/>
      <c r="T15" s="53">
        <f t="shared" si="0"/>
        <v>6552.5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1245</v>
      </c>
      <c r="C16" s="25" t="s">
        <v>170</v>
      </c>
      <c r="D16" s="25" t="s">
        <v>1200</v>
      </c>
      <c r="E16" s="53">
        <v>27480</v>
      </c>
      <c r="F16" s="50"/>
      <c r="G16" s="35">
        <v>229</v>
      </c>
      <c r="H16" s="35">
        <v>120</v>
      </c>
      <c r="I16" s="53">
        <v>27480</v>
      </c>
      <c r="J16" s="66"/>
      <c r="K16" s="66"/>
      <c r="L16" s="66"/>
      <c r="M16" s="66"/>
      <c r="N16" s="66"/>
      <c r="O16" s="66"/>
      <c r="P16" s="67"/>
      <c r="Q16" s="66"/>
      <c r="R16" s="25"/>
      <c r="S16" s="36"/>
      <c r="T16" s="53">
        <f t="shared" si="0"/>
        <v>-20927.5</v>
      </c>
      <c r="U16" s="42"/>
      <c r="V16" s="42"/>
      <c r="W16" s="42"/>
      <c r="X16" s="42"/>
      <c r="Y16" s="42"/>
    </row>
    <row r="17" ht="15.75" customHeight="1" spans="1:25" x14ac:dyDescent="0.25">
      <c r="A17" s="25" t="s">
        <v>1261</v>
      </c>
      <c r="B17" s="35">
        <v>1246</v>
      </c>
      <c r="C17" s="25" t="s">
        <v>170</v>
      </c>
      <c r="D17" s="25" t="s">
        <v>1200</v>
      </c>
      <c r="E17" s="53">
        <v>14640</v>
      </c>
      <c r="F17" s="50"/>
      <c r="G17" s="35">
        <v>122</v>
      </c>
      <c r="H17" s="35">
        <v>120</v>
      </c>
      <c r="I17" s="53">
        <v>14640</v>
      </c>
      <c r="J17" s="66"/>
      <c r="K17" s="66"/>
      <c r="L17" s="66"/>
      <c r="M17" s="66"/>
      <c r="N17" s="66"/>
      <c r="O17" s="66"/>
      <c r="P17" s="67"/>
      <c r="Q17" s="66"/>
      <c r="R17" s="25"/>
      <c r="S17" s="36"/>
      <c r="T17" s="53">
        <f t="shared" si="0"/>
        <v>-35567.5</v>
      </c>
      <c r="U17" s="42"/>
      <c r="V17" s="42"/>
      <c r="W17" s="42"/>
      <c r="X17" s="42"/>
      <c r="Y17" s="42"/>
    </row>
    <row r="18" ht="15.75" customHeight="1" spans="1:25" x14ac:dyDescent="0.25">
      <c r="A18" s="25" t="s">
        <v>1262</v>
      </c>
      <c r="B18" s="35">
        <v>1247</v>
      </c>
      <c r="C18" s="25" t="s">
        <v>170</v>
      </c>
      <c r="D18" s="25" t="s">
        <v>1200</v>
      </c>
      <c r="E18" s="53">
        <v>16440</v>
      </c>
      <c r="F18" s="50"/>
      <c r="G18" s="35">
        <v>137</v>
      </c>
      <c r="H18" s="35">
        <v>120</v>
      </c>
      <c r="I18" s="53">
        <v>16440</v>
      </c>
      <c r="J18" s="66"/>
      <c r="K18" s="66"/>
      <c r="L18" s="66"/>
      <c r="M18" s="66"/>
      <c r="N18" s="66"/>
      <c r="O18" s="66"/>
      <c r="P18" s="66"/>
      <c r="Q18" s="66"/>
      <c r="R18" s="25"/>
      <c r="S18" s="36"/>
      <c r="T18" s="53">
        <f t="shared" si="0"/>
        <v>-52007.5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1248</v>
      </c>
      <c r="C19" s="25" t="s">
        <v>1263</v>
      </c>
      <c r="D19" s="25" t="s">
        <v>261</v>
      </c>
      <c r="E19" s="53">
        <v>540</v>
      </c>
      <c r="F19" s="50"/>
      <c r="G19" s="25"/>
      <c r="H19" s="25"/>
      <c r="I19" s="53"/>
      <c r="J19" s="66"/>
      <c r="K19" s="66"/>
      <c r="L19" s="66"/>
      <c r="M19" s="66"/>
      <c r="N19" s="66"/>
      <c r="O19" s="66"/>
      <c r="P19" s="66"/>
      <c r="Q19" s="66"/>
      <c r="R19" s="25"/>
      <c r="S19" s="36"/>
      <c r="T19" s="53">
        <f t="shared" si="0"/>
        <v>-52547.5</v>
      </c>
      <c r="U19" s="42"/>
      <c r="V19" s="42"/>
      <c r="W19" s="42"/>
      <c r="X19" s="42"/>
      <c r="Y19" s="42"/>
    </row>
    <row r="20" ht="15.75" customHeight="1" spans="1:25" x14ac:dyDescent="0.25">
      <c r="A20" s="25" t="s">
        <v>1264</v>
      </c>
      <c r="B20" s="35"/>
      <c r="C20" s="25" t="s">
        <v>1265</v>
      </c>
      <c r="D20" s="25"/>
      <c r="E20" s="53"/>
      <c r="F20" s="68">
        <v>300000</v>
      </c>
      <c r="G20" s="35"/>
      <c r="H20" s="35"/>
      <c r="I20" s="53"/>
      <c r="J20" s="66"/>
      <c r="K20" s="67"/>
      <c r="L20" s="66"/>
      <c r="M20" s="66"/>
      <c r="N20" s="66"/>
      <c r="O20" s="66"/>
      <c r="P20" s="66"/>
      <c r="Q20" s="66"/>
      <c r="R20" s="25"/>
      <c r="S20" s="36"/>
      <c r="T20" s="53">
        <f>T19-E20+300000</f>
        <v>247452.5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1249</v>
      </c>
      <c r="C21" s="25" t="s">
        <v>1266</v>
      </c>
      <c r="D21" s="25" t="s">
        <v>1267</v>
      </c>
      <c r="E21" s="53">
        <v>43000</v>
      </c>
      <c r="F21" s="50"/>
      <c r="G21" s="35"/>
      <c r="H21" s="25"/>
      <c r="I21" s="53"/>
      <c r="J21" s="66"/>
      <c r="K21" s="66">
        <v>43000</v>
      </c>
      <c r="L21" s="66"/>
      <c r="M21" s="66"/>
      <c r="N21" s="66"/>
      <c r="O21" s="66"/>
      <c r="P21" s="66"/>
      <c r="Q21" s="66"/>
      <c r="R21" s="25"/>
      <c r="S21" s="36"/>
      <c r="T21" s="53">
        <f t="shared" ref="T21:T52" si="1">T20-E21</f>
        <v>204452.5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1250</v>
      </c>
      <c r="C22" s="25" t="s">
        <v>1268</v>
      </c>
      <c r="D22" s="25" t="s">
        <v>1269</v>
      </c>
      <c r="E22" s="53">
        <v>1200</v>
      </c>
      <c r="F22" s="50"/>
      <c r="G22" s="25"/>
      <c r="H22" s="25"/>
      <c r="I22" s="53"/>
      <c r="J22" s="66"/>
      <c r="K22" s="66"/>
      <c r="L22" s="66"/>
      <c r="M22" s="66"/>
      <c r="N22" s="66">
        <v>1200</v>
      </c>
      <c r="O22" s="66"/>
      <c r="P22" s="66"/>
      <c r="Q22" s="66"/>
      <c r="R22" s="25"/>
      <c r="S22" s="36"/>
      <c r="T22" s="53">
        <f t="shared" si="1"/>
        <v>203252.5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1251</v>
      </c>
      <c r="C23" s="25" t="s">
        <v>1270</v>
      </c>
      <c r="D23" s="25" t="s">
        <v>557</v>
      </c>
      <c r="E23" s="53">
        <v>5460</v>
      </c>
      <c r="F23" s="50"/>
      <c r="G23" s="25"/>
      <c r="H23" s="25"/>
      <c r="I23" s="53"/>
      <c r="J23" s="66"/>
      <c r="K23" s="67"/>
      <c r="L23" s="66"/>
      <c r="M23" s="66"/>
      <c r="N23" s="66"/>
      <c r="O23" s="66"/>
      <c r="P23" s="66"/>
      <c r="Q23" s="66"/>
      <c r="R23" s="25">
        <v>5460</v>
      </c>
      <c r="S23" s="36"/>
      <c r="T23" s="53">
        <f t="shared" si="1"/>
        <v>197792.5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0">
        <v>1252</v>
      </c>
      <c r="C24" s="25" t="s">
        <v>1271</v>
      </c>
      <c r="D24" s="25" t="s">
        <v>1272</v>
      </c>
      <c r="E24" s="53">
        <v>1770</v>
      </c>
      <c r="F24" s="50"/>
      <c r="G24" s="25"/>
      <c r="H24" s="25"/>
      <c r="I24" s="53"/>
      <c r="J24" s="66"/>
      <c r="K24" s="67"/>
      <c r="L24" s="66"/>
      <c r="M24" s="66"/>
      <c r="N24" s="66"/>
      <c r="O24" s="66"/>
      <c r="P24" s="66">
        <v>1770</v>
      </c>
      <c r="Q24" s="66"/>
      <c r="R24" s="25"/>
      <c r="S24" s="36"/>
      <c r="T24" s="53">
        <f t="shared" si="1"/>
        <v>196022.5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1253</v>
      </c>
      <c r="C25" s="25" t="s">
        <v>170</v>
      </c>
      <c r="D25" s="25" t="s">
        <v>54</v>
      </c>
      <c r="E25" s="54">
        <v>4560</v>
      </c>
      <c r="F25" s="50"/>
      <c r="G25" s="35">
        <v>38</v>
      </c>
      <c r="H25" s="35">
        <v>120</v>
      </c>
      <c r="I25" s="53">
        <v>4560</v>
      </c>
      <c r="J25" s="66"/>
      <c r="K25" s="67"/>
      <c r="L25" s="66"/>
      <c r="M25" s="66"/>
      <c r="N25" s="66"/>
      <c r="O25" s="66"/>
      <c r="P25" s="66"/>
      <c r="Q25" s="66"/>
      <c r="R25" s="25"/>
      <c r="S25" s="36"/>
      <c r="T25" s="53">
        <f t="shared" si="1"/>
        <v>191462.5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0">
        <v>1254</v>
      </c>
      <c r="C26" s="25" t="s">
        <v>170</v>
      </c>
      <c r="D26" s="25" t="s">
        <v>618</v>
      </c>
      <c r="E26" s="54">
        <v>4680</v>
      </c>
      <c r="F26" s="50"/>
      <c r="G26" s="35">
        <v>39</v>
      </c>
      <c r="H26" s="35">
        <v>120</v>
      </c>
      <c r="I26" s="53">
        <v>4680</v>
      </c>
      <c r="J26" s="66"/>
      <c r="K26" s="67"/>
      <c r="L26" s="66"/>
      <c r="M26" s="66"/>
      <c r="N26" s="66"/>
      <c r="O26" s="66"/>
      <c r="P26" s="66"/>
      <c r="Q26" s="66"/>
      <c r="R26" s="25"/>
      <c r="S26" s="36"/>
      <c r="T26" s="53">
        <f t="shared" si="1"/>
        <v>186782.5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1255</v>
      </c>
      <c r="C27" s="25" t="s">
        <v>170</v>
      </c>
      <c r="D27" s="25" t="s">
        <v>52</v>
      </c>
      <c r="E27" s="53">
        <v>1680</v>
      </c>
      <c r="F27" s="50"/>
      <c r="G27" s="35">
        <v>14</v>
      </c>
      <c r="H27" s="35">
        <v>120</v>
      </c>
      <c r="I27" s="53">
        <v>1680</v>
      </c>
      <c r="J27" s="66"/>
      <c r="K27" s="67"/>
      <c r="L27" s="66"/>
      <c r="M27" s="66"/>
      <c r="N27" s="66"/>
      <c r="O27" s="66"/>
      <c r="P27" s="66"/>
      <c r="Q27" s="66"/>
      <c r="R27" s="25"/>
      <c r="S27" s="36"/>
      <c r="T27" s="53">
        <f t="shared" si="1"/>
        <v>185102.5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0">
        <v>1256</v>
      </c>
      <c r="C28" s="25" t="s">
        <v>170</v>
      </c>
      <c r="D28" s="25" t="s">
        <v>1200</v>
      </c>
      <c r="E28" s="53">
        <v>16680</v>
      </c>
      <c r="F28" s="50"/>
      <c r="G28" s="35">
        <v>139</v>
      </c>
      <c r="H28" s="35">
        <v>120</v>
      </c>
      <c r="I28" s="53">
        <v>16680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1"/>
        <v>168422.5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1257</v>
      </c>
      <c r="C29" s="25" t="s">
        <v>1022</v>
      </c>
      <c r="D29" s="23" t="s">
        <v>1273</v>
      </c>
      <c r="E29" s="54">
        <v>1050</v>
      </c>
      <c r="F29" s="50"/>
      <c r="G29" s="25"/>
      <c r="H29" s="25"/>
      <c r="I29" s="53"/>
      <c r="J29" s="66"/>
      <c r="K29" s="67"/>
      <c r="L29" s="66"/>
      <c r="M29" s="66"/>
      <c r="N29" s="66"/>
      <c r="O29" s="66"/>
      <c r="P29" s="66">
        <v>1050</v>
      </c>
      <c r="Q29" s="66"/>
      <c r="R29" s="25"/>
      <c r="S29" s="36"/>
      <c r="T29" s="53">
        <f t="shared" si="1"/>
        <v>167372.5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0">
        <v>1258</v>
      </c>
      <c r="C30" s="25" t="s">
        <v>1051</v>
      </c>
      <c r="D30" s="23" t="s">
        <v>1274</v>
      </c>
      <c r="E30" s="54">
        <v>800</v>
      </c>
      <c r="F30" s="50"/>
      <c r="G30" s="25"/>
      <c r="H30" s="25"/>
      <c r="I30" s="53"/>
      <c r="J30" s="66"/>
      <c r="K30" s="66"/>
      <c r="L30" s="66"/>
      <c r="M30" s="66"/>
      <c r="N30" s="66"/>
      <c r="O30" s="66"/>
      <c r="P30" s="66">
        <v>800</v>
      </c>
      <c r="Q30" s="66"/>
      <c r="R30" s="25"/>
      <c r="S30" s="36"/>
      <c r="T30" s="53">
        <f t="shared" si="1"/>
        <v>166572.5</v>
      </c>
      <c r="U30" s="42"/>
      <c r="V30" s="42"/>
      <c r="W30" s="42"/>
      <c r="X30" s="42"/>
      <c r="Y30" s="42"/>
    </row>
    <row r="31" ht="15.75" customHeight="1" spans="1:25" x14ac:dyDescent="0.25">
      <c r="A31" s="25" t="s">
        <v>1275</v>
      </c>
      <c r="B31" s="35">
        <v>1259</v>
      </c>
      <c r="C31" s="25" t="s">
        <v>1276</v>
      </c>
      <c r="D31" s="25" t="s">
        <v>1269</v>
      </c>
      <c r="E31" s="53">
        <v>2550</v>
      </c>
      <c r="F31" s="50"/>
      <c r="G31" s="25"/>
      <c r="H31" s="25"/>
      <c r="I31" s="53"/>
      <c r="J31" s="66"/>
      <c r="K31" s="66"/>
      <c r="L31" s="66"/>
      <c r="M31" s="66"/>
      <c r="N31" s="66">
        <v>2550</v>
      </c>
      <c r="O31" s="66"/>
      <c r="P31" s="66"/>
      <c r="Q31" s="66"/>
      <c r="R31" s="25"/>
      <c r="S31" s="36"/>
      <c r="T31" s="53">
        <f t="shared" si="1"/>
        <v>164022.5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1260</v>
      </c>
      <c r="C32" s="25" t="s">
        <v>170</v>
      </c>
      <c r="D32" s="25" t="s">
        <v>54</v>
      </c>
      <c r="E32" s="53">
        <v>7680</v>
      </c>
      <c r="F32" s="50"/>
      <c r="G32" s="35">
        <v>64</v>
      </c>
      <c r="H32" s="35">
        <v>120</v>
      </c>
      <c r="I32" s="53">
        <v>7680</v>
      </c>
      <c r="J32" s="66"/>
      <c r="K32" s="66"/>
      <c r="L32" s="66"/>
      <c r="M32" s="66"/>
      <c r="N32" s="66"/>
      <c r="O32" s="66"/>
      <c r="P32" s="66"/>
      <c r="Q32" s="66"/>
      <c r="R32" s="25"/>
      <c r="S32" s="36"/>
      <c r="T32" s="53">
        <f t="shared" si="1"/>
        <v>156342.5</v>
      </c>
      <c r="U32" s="42"/>
      <c r="V32" s="42"/>
      <c r="W32" s="42"/>
      <c r="X32" s="42"/>
      <c r="Y32" s="42"/>
    </row>
    <row r="33" ht="15.75" customHeight="1" spans="1:25" x14ac:dyDescent="0.25">
      <c r="A33" s="25"/>
      <c r="B33" s="35">
        <v>1261</v>
      </c>
      <c r="C33" s="25" t="s">
        <v>170</v>
      </c>
      <c r="D33" s="25" t="s">
        <v>1200</v>
      </c>
      <c r="E33" s="53">
        <v>14400</v>
      </c>
      <c r="F33" s="50"/>
      <c r="G33" s="35">
        <v>120</v>
      </c>
      <c r="H33" s="35">
        <v>120</v>
      </c>
      <c r="I33" s="53">
        <v>14400</v>
      </c>
      <c r="J33" s="66"/>
      <c r="K33" s="66"/>
      <c r="L33" s="66"/>
      <c r="M33" s="66"/>
      <c r="N33" s="66"/>
      <c r="O33" s="66"/>
      <c r="P33" s="66"/>
      <c r="Q33" s="67"/>
      <c r="R33" s="25"/>
      <c r="S33" s="36"/>
      <c r="T33" s="53">
        <f t="shared" si="1"/>
        <v>141942.5</v>
      </c>
      <c r="U33" s="42"/>
      <c r="V33" s="42"/>
      <c r="W33" s="42"/>
      <c r="X33" s="42"/>
      <c r="Y33" s="42"/>
    </row>
    <row r="34" ht="15.75" customHeight="1" spans="1:25" x14ac:dyDescent="0.25">
      <c r="A34" s="25" t="s">
        <v>1277</v>
      </c>
      <c r="B34" s="35">
        <v>1262</v>
      </c>
      <c r="C34" s="25" t="s">
        <v>1278</v>
      </c>
      <c r="D34" s="25" t="s">
        <v>1279</v>
      </c>
      <c r="E34" s="53">
        <v>19900</v>
      </c>
      <c r="F34" s="50"/>
      <c r="G34" s="25"/>
      <c r="H34" s="25"/>
      <c r="I34" s="53"/>
      <c r="J34" s="66"/>
      <c r="K34" s="66"/>
      <c r="L34" s="66"/>
      <c r="M34" s="66"/>
      <c r="N34" s="66"/>
      <c r="O34" s="66"/>
      <c r="P34" s="67"/>
      <c r="Q34" s="66"/>
      <c r="R34" s="25">
        <v>19900</v>
      </c>
      <c r="S34" s="36"/>
      <c r="T34" s="53">
        <f t="shared" si="1"/>
        <v>122042.5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1263</v>
      </c>
      <c r="C35" s="25" t="s">
        <v>1280</v>
      </c>
      <c r="D35" s="25" t="s">
        <v>1281</v>
      </c>
      <c r="E35" s="53">
        <v>500</v>
      </c>
      <c r="F35" s="50"/>
      <c r="G35" s="25"/>
      <c r="H35" s="25"/>
      <c r="I35" s="53"/>
      <c r="J35" s="66"/>
      <c r="K35" s="66">
        <v>500</v>
      </c>
      <c r="L35" s="66"/>
      <c r="M35" s="66"/>
      <c r="N35" s="66"/>
      <c r="O35" s="66"/>
      <c r="P35" s="66"/>
      <c r="Q35" s="66"/>
      <c r="R35" s="25"/>
      <c r="S35" s="36"/>
      <c r="T35" s="53">
        <f t="shared" si="1"/>
        <v>121542.5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1264</v>
      </c>
      <c r="C36" s="25" t="s">
        <v>1282</v>
      </c>
      <c r="D36" s="23" t="s">
        <v>572</v>
      </c>
      <c r="E36" s="54">
        <v>2000</v>
      </c>
      <c r="F36" s="50"/>
      <c r="G36" s="25"/>
      <c r="H36" s="25"/>
      <c r="I36" s="53"/>
      <c r="J36" s="66"/>
      <c r="K36" s="66"/>
      <c r="L36" s="66"/>
      <c r="M36" s="66"/>
      <c r="N36" s="66">
        <v>2000</v>
      </c>
      <c r="O36" s="66"/>
      <c r="P36" s="66"/>
      <c r="Q36" s="66"/>
      <c r="R36" s="25"/>
      <c r="S36" s="36"/>
      <c r="T36" s="53">
        <f t="shared" si="1"/>
        <v>119542.5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1265</v>
      </c>
      <c r="C37" s="25" t="s">
        <v>1283</v>
      </c>
      <c r="D37" s="23" t="s">
        <v>1284</v>
      </c>
      <c r="E37" s="54">
        <v>3140</v>
      </c>
      <c r="F37" s="50"/>
      <c r="G37" s="25"/>
      <c r="H37" s="25"/>
      <c r="I37" s="53"/>
      <c r="J37" s="66"/>
      <c r="K37" s="66"/>
      <c r="L37" s="66"/>
      <c r="M37" s="66"/>
      <c r="N37" s="66"/>
      <c r="O37" s="66"/>
      <c r="P37" s="66">
        <v>3140</v>
      </c>
      <c r="Q37" s="66"/>
      <c r="R37" s="25"/>
      <c r="S37" s="36"/>
      <c r="T37" s="53">
        <f t="shared" si="1"/>
        <v>116402.5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1266</v>
      </c>
      <c r="C38" s="25" t="s">
        <v>1285</v>
      </c>
      <c r="D38" s="23" t="s">
        <v>881</v>
      </c>
      <c r="E38" s="80">
        <v>350</v>
      </c>
      <c r="F38" s="50"/>
      <c r="G38" s="35"/>
      <c r="H38" s="35"/>
      <c r="I38" s="53"/>
      <c r="J38" s="66"/>
      <c r="K38" s="66"/>
      <c r="L38" s="66"/>
      <c r="M38" s="66"/>
      <c r="N38" s="66"/>
      <c r="O38" s="66"/>
      <c r="P38" s="66"/>
      <c r="Q38" s="66"/>
      <c r="R38" s="25">
        <v>350</v>
      </c>
      <c r="S38" s="36"/>
      <c r="T38" s="53">
        <f t="shared" si="1"/>
        <v>116052.5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1267</v>
      </c>
      <c r="C39" s="25" t="s">
        <v>170</v>
      </c>
      <c r="D39" s="25" t="s">
        <v>1200</v>
      </c>
      <c r="E39" s="53">
        <v>20880</v>
      </c>
      <c r="F39" s="50"/>
      <c r="G39" s="35">
        <v>174</v>
      </c>
      <c r="H39" s="35">
        <v>120</v>
      </c>
      <c r="I39" s="53">
        <v>20880</v>
      </c>
      <c r="J39" s="66"/>
      <c r="K39" s="66"/>
      <c r="L39" s="66"/>
      <c r="M39" s="66"/>
      <c r="N39" s="66"/>
      <c r="O39" s="66"/>
      <c r="P39" s="66"/>
      <c r="Q39" s="66"/>
      <c r="R39" s="25"/>
      <c r="S39" s="36"/>
      <c r="T39" s="53">
        <f t="shared" si="1"/>
        <v>95172.5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1268</v>
      </c>
      <c r="C40" s="25" t="s">
        <v>170</v>
      </c>
      <c r="D40" s="25" t="s">
        <v>52</v>
      </c>
      <c r="E40" s="53">
        <v>2400</v>
      </c>
      <c r="F40" s="50"/>
      <c r="G40" s="35">
        <v>20</v>
      </c>
      <c r="H40" s="35">
        <v>120</v>
      </c>
      <c r="I40" s="53">
        <v>2400</v>
      </c>
      <c r="J40" s="66"/>
      <c r="K40" s="66"/>
      <c r="L40" s="66"/>
      <c r="M40" s="66"/>
      <c r="N40" s="66"/>
      <c r="O40" s="66"/>
      <c r="P40" s="67"/>
      <c r="Q40" s="66"/>
      <c r="R40" s="25"/>
      <c r="S40" s="36"/>
      <c r="T40" s="53">
        <f t="shared" si="1"/>
        <v>92772.5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1269</v>
      </c>
      <c r="C41" s="25" t="s">
        <v>170</v>
      </c>
      <c r="D41" s="25" t="s">
        <v>200</v>
      </c>
      <c r="E41" s="53">
        <v>50280</v>
      </c>
      <c r="F41" s="50"/>
      <c r="G41" s="35">
        <v>419</v>
      </c>
      <c r="H41" s="35">
        <v>120</v>
      </c>
      <c r="I41" s="53">
        <v>50280</v>
      </c>
      <c r="J41" s="66"/>
      <c r="K41" s="66"/>
      <c r="L41" s="66"/>
      <c r="M41" s="67"/>
      <c r="N41" s="66"/>
      <c r="O41" s="66"/>
      <c r="P41" s="66"/>
      <c r="Q41" s="66"/>
      <c r="R41" s="25"/>
      <c r="S41" s="36"/>
      <c r="T41" s="53">
        <f t="shared" si="1"/>
        <v>42492.5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1270</v>
      </c>
      <c r="C42" s="25" t="s">
        <v>1286</v>
      </c>
      <c r="D42" s="25" t="s">
        <v>1287</v>
      </c>
      <c r="E42" s="53">
        <v>10000</v>
      </c>
      <c r="F42" s="50"/>
      <c r="G42" s="35"/>
      <c r="H42" s="35"/>
      <c r="I42" s="53"/>
      <c r="J42" s="66"/>
      <c r="K42" s="66"/>
      <c r="L42" s="66"/>
      <c r="M42" s="66"/>
      <c r="N42" s="66"/>
      <c r="O42" s="66"/>
      <c r="P42" s="66">
        <v>10000</v>
      </c>
      <c r="Q42" s="66"/>
      <c r="R42" s="25"/>
      <c r="S42" s="36"/>
      <c r="T42" s="53">
        <f t="shared" si="1"/>
        <v>32492.5</v>
      </c>
      <c r="U42" s="42"/>
      <c r="V42" s="42"/>
      <c r="W42" s="42"/>
      <c r="X42" s="42"/>
      <c r="Y42" s="42"/>
    </row>
    <row r="43" ht="15.75" customHeight="1" spans="1:25" x14ac:dyDescent="0.25">
      <c r="A43" s="25" t="s">
        <v>1288</v>
      </c>
      <c r="B43" s="30">
        <v>1271</v>
      </c>
      <c r="C43" s="25" t="s">
        <v>1289</v>
      </c>
      <c r="D43" s="90" t="s">
        <v>1212</v>
      </c>
      <c r="E43" s="53">
        <v>17290</v>
      </c>
      <c r="F43" s="50"/>
      <c r="G43" s="35"/>
      <c r="H43" s="25"/>
      <c r="I43" s="65"/>
      <c r="J43" s="66"/>
      <c r="K43" s="66"/>
      <c r="L43" s="66"/>
      <c r="M43" s="66"/>
      <c r="N43" s="66"/>
      <c r="O43" s="66"/>
      <c r="P43" s="66"/>
      <c r="Q43" s="66"/>
      <c r="R43" s="25"/>
      <c r="S43" s="36"/>
      <c r="T43" s="53">
        <f t="shared" si="1"/>
        <v>15202.5</v>
      </c>
      <c r="U43" s="42"/>
      <c r="V43" s="42"/>
      <c r="W43" s="42"/>
      <c r="X43" s="42"/>
      <c r="Y43" s="42"/>
    </row>
    <row r="44" ht="15.75" customHeight="1" spans="1:25" x14ac:dyDescent="0.25">
      <c r="A44" s="25"/>
      <c r="B44" s="30">
        <v>1272</v>
      </c>
      <c r="C44" s="25" t="s">
        <v>1290</v>
      </c>
      <c r="D44" s="25" t="s">
        <v>121</v>
      </c>
      <c r="E44" s="53">
        <v>15000</v>
      </c>
      <c r="F44" s="50"/>
      <c r="G44" s="25"/>
      <c r="H44" s="25"/>
      <c r="I44" s="65"/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 t="shared" si="1"/>
        <v>202.5</v>
      </c>
      <c r="U44" s="42"/>
      <c r="V44" s="42"/>
      <c r="W44" s="42"/>
      <c r="X44" s="42"/>
      <c r="Y44" s="42"/>
    </row>
    <row r="45" ht="15.75" customHeight="1" spans="1:25" x14ac:dyDescent="0.25">
      <c r="A45" s="25" t="s">
        <v>1291</v>
      </c>
      <c r="B45" s="35">
        <v>1273</v>
      </c>
      <c r="C45" s="25" t="s">
        <v>1292</v>
      </c>
      <c r="D45" s="25" t="s">
        <v>1029</v>
      </c>
      <c r="E45" s="53">
        <v>500</v>
      </c>
      <c r="F45" s="50"/>
      <c r="G45" s="35"/>
      <c r="H45" s="35"/>
      <c r="I45" s="53"/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si="1"/>
        <v>-297.5</v>
      </c>
      <c r="U45" s="42"/>
      <c r="V45" s="42"/>
      <c r="W45" s="42"/>
      <c r="X45" s="42"/>
      <c r="Y45" s="42"/>
    </row>
    <row r="46" ht="15.75" customHeight="1" spans="1:25" x14ac:dyDescent="0.25">
      <c r="A46" s="25" t="s">
        <v>1293</v>
      </c>
      <c r="B46" s="35">
        <v>1274</v>
      </c>
      <c r="C46" s="25" t="s">
        <v>1294</v>
      </c>
      <c r="D46" s="25" t="s">
        <v>196</v>
      </c>
      <c r="E46" s="53">
        <v>9240</v>
      </c>
      <c r="F46" s="50"/>
      <c r="G46" s="35">
        <v>77</v>
      </c>
      <c r="H46" s="35">
        <v>120</v>
      </c>
      <c r="I46" s="53">
        <v>9240</v>
      </c>
      <c r="J46" s="66"/>
      <c r="L46" s="66"/>
      <c r="M46" s="66"/>
      <c r="N46" s="66"/>
      <c r="O46" s="66"/>
      <c r="P46" s="66"/>
      <c r="Q46" s="66"/>
      <c r="R46" s="25"/>
      <c r="S46" s="36"/>
      <c r="T46" s="53">
        <f t="shared" si="1"/>
        <v>-9537.5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1275</v>
      </c>
      <c r="C47" s="25" t="s">
        <v>1294</v>
      </c>
      <c r="D47" s="25" t="s">
        <v>420</v>
      </c>
      <c r="E47" s="53">
        <v>3240</v>
      </c>
      <c r="F47" s="50"/>
      <c r="G47" s="35">
        <v>27</v>
      </c>
      <c r="H47" s="35">
        <v>120</v>
      </c>
      <c r="I47" s="53">
        <v>3240</v>
      </c>
      <c r="J47" s="66"/>
      <c r="K47" s="66"/>
      <c r="L47" s="66"/>
      <c r="M47" s="66"/>
      <c r="N47" s="66"/>
      <c r="O47" s="66"/>
      <c r="P47" s="66"/>
      <c r="Q47" s="66"/>
      <c r="R47" s="25"/>
      <c r="S47" s="36"/>
      <c r="T47" s="53">
        <f t="shared" si="1"/>
        <v>-12777.5</v>
      </c>
      <c r="U47" s="42"/>
      <c r="V47" s="42"/>
      <c r="W47" s="42"/>
      <c r="X47" s="42"/>
      <c r="Y47" s="42"/>
    </row>
    <row r="48" ht="15.75" customHeight="1" spans="1:25" x14ac:dyDescent="0.25">
      <c r="A48" s="25" t="s">
        <v>1295</v>
      </c>
      <c r="B48" s="35">
        <v>1276</v>
      </c>
      <c r="C48" s="23" t="s">
        <v>1296</v>
      </c>
      <c r="D48" s="25" t="s">
        <v>295</v>
      </c>
      <c r="E48" s="53">
        <v>2400</v>
      </c>
      <c r="F48" s="50"/>
      <c r="G48" s="25"/>
      <c r="H48" s="25"/>
      <c r="I48" s="65"/>
      <c r="J48" s="66"/>
      <c r="K48" s="66"/>
      <c r="L48" s="66"/>
      <c r="M48" s="66"/>
      <c r="N48" s="66"/>
      <c r="O48" s="66"/>
      <c r="P48" s="66"/>
      <c r="Q48" s="66"/>
      <c r="R48" s="25">
        <v>2400</v>
      </c>
      <c r="S48" s="36"/>
      <c r="T48" s="53">
        <f t="shared" si="1"/>
        <v>-15177.5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1277</v>
      </c>
      <c r="C49" s="25" t="s">
        <v>1297</v>
      </c>
      <c r="D49" s="25" t="s">
        <v>1269</v>
      </c>
      <c r="E49" s="53">
        <v>200</v>
      </c>
      <c r="F49" s="50"/>
      <c r="G49" s="25"/>
      <c r="H49" s="25"/>
      <c r="I49" s="65"/>
      <c r="J49" s="66"/>
      <c r="K49" s="66"/>
      <c r="L49" s="66"/>
      <c r="M49" s="66"/>
      <c r="N49" s="66">
        <v>200</v>
      </c>
      <c r="O49" s="66"/>
      <c r="P49" s="66"/>
      <c r="Q49" s="66"/>
      <c r="R49" s="25"/>
      <c r="S49" s="36"/>
      <c r="T49" s="53">
        <f t="shared" si="1"/>
        <v>-15377.5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1278</v>
      </c>
      <c r="C50" s="25" t="s">
        <v>170</v>
      </c>
      <c r="D50" s="25" t="s">
        <v>196</v>
      </c>
      <c r="E50" s="53">
        <v>4080</v>
      </c>
      <c r="F50" s="50"/>
      <c r="G50" s="35">
        <v>34</v>
      </c>
      <c r="H50" s="35">
        <v>120</v>
      </c>
      <c r="I50" s="53">
        <v>4080</v>
      </c>
      <c r="J50" s="66"/>
      <c r="K50" s="66"/>
      <c r="L50" s="66"/>
      <c r="M50" s="66"/>
      <c r="N50" s="66"/>
      <c r="O50" s="66"/>
      <c r="P50" s="66"/>
      <c r="Q50" s="66"/>
      <c r="R50" s="25"/>
      <c r="S50" s="36"/>
      <c r="T50" s="53">
        <f t="shared" si="1"/>
        <v>-19457.5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1279</v>
      </c>
      <c r="C51" s="25" t="s">
        <v>170</v>
      </c>
      <c r="D51" s="25" t="s">
        <v>618</v>
      </c>
      <c r="E51" s="53">
        <v>21480</v>
      </c>
      <c r="F51" s="50"/>
      <c r="G51" s="35">
        <v>179</v>
      </c>
      <c r="H51" s="35">
        <v>120</v>
      </c>
      <c r="I51" s="53">
        <v>21480</v>
      </c>
      <c r="J51" s="66"/>
      <c r="K51" s="66"/>
      <c r="L51" s="66"/>
      <c r="M51" s="66"/>
      <c r="N51" s="66"/>
      <c r="O51" s="66"/>
      <c r="P51" s="66"/>
      <c r="Q51" s="66"/>
      <c r="R51" s="25"/>
      <c r="S51" s="36"/>
      <c r="T51" s="53">
        <f t="shared" si="1"/>
        <v>-40937.5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1280</v>
      </c>
      <c r="C52" s="25" t="s">
        <v>170</v>
      </c>
      <c r="D52" s="25" t="s">
        <v>200</v>
      </c>
      <c r="E52" s="53">
        <v>56160</v>
      </c>
      <c r="F52" s="50"/>
      <c r="G52" s="35">
        <v>468</v>
      </c>
      <c r="H52" s="35">
        <v>120</v>
      </c>
      <c r="I52" s="53">
        <v>56160</v>
      </c>
      <c r="J52" s="66"/>
      <c r="K52" s="66"/>
      <c r="L52" s="66"/>
      <c r="M52" s="66"/>
      <c r="N52" s="66"/>
      <c r="O52" s="66"/>
      <c r="P52" s="66"/>
      <c r="Q52" s="66"/>
      <c r="R52" s="25"/>
      <c r="S52" s="36"/>
      <c r="T52" s="53">
        <f t="shared" si="1"/>
        <v>-97097.5</v>
      </c>
      <c r="U52" s="42"/>
      <c r="V52" s="42"/>
      <c r="W52" s="42"/>
      <c r="X52" s="42"/>
      <c r="Y52" s="42"/>
    </row>
    <row r="53" ht="15.75" customHeight="1" spans="1:25" x14ac:dyDescent="0.25">
      <c r="A53" s="25" t="s">
        <v>1298</v>
      </c>
      <c r="B53" s="35"/>
      <c r="C53" s="25" t="s">
        <v>1299</v>
      </c>
      <c r="D53" s="25"/>
      <c r="E53" s="53"/>
      <c r="F53" s="68">
        <v>200000</v>
      </c>
      <c r="G53" s="25"/>
      <c r="H53" s="25"/>
      <c r="I53" s="65"/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>T52-E53+200000</f>
        <v>102902.5</v>
      </c>
      <c r="U53" s="42"/>
      <c r="V53" s="42"/>
      <c r="W53" s="42"/>
      <c r="X53" s="42"/>
      <c r="Y53" s="42"/>
    </row>
    <row r="54" ht="15.75" customHeight="1" spans="1:25" x14ac:dyDescent="0.25">
      <c r="A54" s="25"/>
      <c r="B54" s="35">
        <v>1281</v>
      </c>
      <c r="C54" s="25" t="s">
        <v>1300</v>
      </c>
      <c r="D54" s="25" t="s">
        <v>1301</v>
      </c>
      <c r="E54" s="53">
        <v>5572</v>
      </c>
      <c r="F54" s="50"/>
      <c r="G54" s="25"/>
      <c r="H54" s="25"/>
      <c r="I54" s="65"/>
      <c r="J54" s="66"/>
      <c r="K54" s="66"/>
      <c r="L54" s="66"/>
      <c r="M54" s="66"/>
      <c r="N54" s="66"/>
      <c r="O54" s="66"/>
      <c r="P54" s="66">
        <v>5572</v>
      </c>
      <c r="Q54" s="66"/>
      <c r="R54" s="25"/>
      <c r="S54" s="36"/>
      <c r="T54" s="53">
        <f t="shared" ref="T54:T100" si="2">T53-E54</f>
        <v>97330.5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1282</v>
      </c>
      <c r="C55" s="25" t="s">
        <v>13</v>
      </c>
      <c r="D55" s="25" t="s">
        <v>885</v>
      </c>
      <c r="E55" s="53">
        <v>6000</v>
      </c>
      <c r="F55" s="50"/>
      <c r="G55" s="25"/>
      <c r="H55" s="25"/>
      <c r="I55" s="65"/>
      <c r="J55" s="66"/>
      <c r="K55" s="66"/>
      <c r="L55" s="66"/>
      <c r="M55" s="66"/>
      <c r="N55" s="66"/>
      <c r="O55" s="66"/>
      <c r="P55" s="66"/>
      <c r="Q55" s="66">
        <v>6000</v>
      </c>
      <c r="R55" s="25"/>
      <c r="S55" s="36"/>
      <c r="T55" s="53">
        <f t="shared" si="2"/>
        <v>91330.5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1283</v>
      </c>
      <c r="C56" s="25" t="s">
        <v>384</v>
      </c>
      <c r="D56" s="23" t="s">
        <v>299</v>
      </c>
      <c r="E56" s="53">
        <v>400</v>
      </c>
      <c r="F56" s="50"/>
      <c r="G56" s="25"/>
      <c r="H56" s="25"/>
      <c r="I56" s="65"/>
      <c r="J56" s="66"/>
      <c r="K56" s="66"/>
      <c r="L56" s="66"/>
      <c r="M56" s="66"/>
      <c r="N56" s="66"/>
      <c r="O56" s="66"/>
      <c r="P56" s="66">
        <v>400</v>
      </c>
      <c r="Q56" s="66"/>
      <c r="R56" s="25"/>
      <c r="S56" s="36"/>
      <c r="T56" s="53">
        <f t="shared" si="2"/>
        <v>90930.5</v>
      </c>
      <c r="U56" s="42"/>
      <c r="V56" s="42"/>
      <c r="W56" s="42"/>
      <c r="X56" s="42"/>
      <c r="Y56" s="42"/>
    </row>
    <row r="57" ht="15.75" customHeight="1" spans="1:25" x14ac:dyDescent="0.25">
      <c r="A57" s="25"/>
      <c r="B57" s="35">
        <v>1284</v>
      </c>
      <c r="C57" s="25" t="s">
        <v>1302</v>
      </c>
      <c r="D57" s="25" t="s">
        <v>1267</v>
      </c>
      <c r="E57" s="53">
        <v>3000</v>
      </c>
      <c r="F57" s="50"/>
      <c r="G57" s="25"/>
      <c r="H57" s="25"/>
      <c r="I57" s="65"/>
      <c r="J57" s="66"/>
      <c r="K57" s="66">
        <v>3000</v>
      </c>
      <c r="L57" s="66"/>
      <c r="M57" s="66"/>
      <c r="N57" s="66"/>
      <c r="O57" s="66"/>
      <c r="P57" s="66"/>
      <c r="Q57" s="66"/>
      <c r="R57" s="25"/>
      <c r="S57" s="36"/>
      <c r="T57" s="53">
        <f t="shared" si="2"/>
        <v>87930.5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1285</v>
      </c>
      <c r="C58" s="25" t="s">
        <v>1303</v>
      </c>
      <c r="D58" s="25" t="s">
        <v>673</v>
      </c>
      <c r="E58" s="53">
        <v>140</v>
      </c>
      <c r="F58" s="50"/>
      <c r="G58" s="25"/>
      <c r="H58" s="25"/>
      <c r="I58" s="65"/>
      <c r="J58" s="66"/>
      <c r="K58" s="66"/>
      <c r="L58" s="66"/>
      <c r="M58" s="66"/>
      <c r="N58" s="66">
        <v>140</v>
      </c>
      <c r="O58" s="66"/>
      <c r="P58" s="66"/>
      <c r="Q58" s="66"/>
      <c r="R58" s="25"/>
      <c r="S58" s="36"/>
      <c r="T58" s="53">
        <f t="shared" si="2"/>
        <v>87790.5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1286</v>
      </c>
      <c r="C59" s="25" t="s">
        <v>1304</v>
      </c>
      <c r="D59" s="25" t="s">
        <v>279</v>
      </c>
      <c r="E59" s="53">
        <v>400</v>
      </c>
      <c r="F59" s="50"/>
      <c r="G59" s="35"/>
      <c r="H59" s="35"/>
      <c r="I59" s="65"/>
      <c r="J59" s="66"/>
      <c r="K59" s="66"/>
      <c r="L59" s="66"/>
      <c r="M59" s="67"/>
      <c r="N59" s="66"/>
      <c r="O59" s="66">
        <v>400</v>
      </c>
      <c r="P59" s="66"/>
      <c r="Q59" s="66"/>
      <c r="R59" s="25"/>
      <c r="S59" s="36"/>
      <c r="T59" s="53">
        <f t="shared" si="2"/>
        <v>87390.5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1287</v>
      </c>
      <c r="C60" s="25" t="s">
        <v>1305</v>
      </c>
      <c r="D60" s="25" t="s">
        <v>295</v>
      </c>
      <c r="E60" s="53">
        <v>2990</v>
      </c>
      <c r="F60" s="50"/>
      <c r="G60" s="35"/>
      <c r="H60" s="53"/>
      <c r="I60" s="65"/>
      <c r="J60" s="66"/>
      <c r="K60" s="66"/>
      <c r="L60" s="66"/>
      <c r="M60" s="66"/>
      <c r="N60" s="66"/>
      <c r="O60" s="66"/>
      <c r="P60" s="67"/>
      <c r="Q60" s="66"/>
      <c r="R60" s="25">
        <v>2990</v>
      </c>
      <c r="S60" s="36"/>
      <c r="T60" s="53">
        <f t="shared" si="2"/>
        <v>84400.5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1288</v>
      </c>
      <c r="C61" s="25" t="s">
        <v>170</v>
      </c>
      <c r="D61" s="25" t="s">
        <v>1306</v>
      </c>
      <c r="E61" s="53">
        <v>1080</v>
      </c>
      <c r="F61" s="50"/>
      <c r="G61" s="35">
        <v>9</v>
      </c>
      <c r="H61" s="35">
        <v>120</v>
      </c>
      <c r="I61" s="53">
        <v>1080</v>
      </c>
      <c r="J61" s="66"/>
      <c r="K61" s="66"/>
      <c r="L61" s="66"/>
      <c r="M61" s="66"/>
      <c r="N61" s="66"/>
      <c r="O61" s="66"/>
      <c r="P61" s="66"/>
      <c r="Q61" s="66"/>
      <c r="R61" s="25"/>
      <c r="S61" s="36"/>
      <c r="T61" s="53">
        <f t="shared" si="2"/>
        <v>83320.5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1289</v>
      </c>
      <c r="C62" s="25" t="s">
        <v>1294</v>
      </c>
      <c r="D62" s="25" t="s">
        <v>151</v>
      </c>
      <c r="E62" s="53">
        <v>3000</v>
      </c>
      <c r="F62" s="50"/>
      <c r="G62" s="35">
        <v>25</v>
      </c>
      <c r="H62" s="35">
        <v>120</v>
      </c>
      <c r="I62" s="53">
        <v>3000</v>
      </c>
      <c r="J62" s="66"/>
      <c r="K62" s="66"/>
      <c r="L62" s="66"/>
      <c r="M62" s="66"/>
      <c r="N62" s="66"/>
      <c r="O62" s="66"/>
      <c r="P62" s="66"/>
      <c r="Q62" s="66"/>
      <c r="R62" s="25"/>
      <c r="S62" s="36"/>
      <c r="T62" s="53">
        <f t="shared" si="2"/>
        <v>80320.5</v>
      </c>
      <c r="U62" s="42"/>
      <c r="V62" s="42"/>
      <c r="W62" s="42"/>
      <c r="X62" s="42"/>
      <c r="Y62" s="42"/>
    </row>
    <row r="63" ht="15.75" customHeight="1" spans="1:25" x14ac:dyDescent="0.25">
      <c r="A63" s="25"/>
      <c r="B63" s="35">
        <v>1290</v>
      </c>
      <c r="C63" s="25" t="s">
        <v>170</v>
      </c>
      <c r="D63" s="25" t="s">
        <v>1307</v>
      </c>
      <c r="E63" s="53">
        <v>360</v>
      </c>
      <c r="F63" s="50"/>
      <c r="G63" s="35">
        <v>3</v>
      </c>
      <c r="H63" s="35">
        <v>120</v>
      </c>
      <c r="I63" s="53">
        <v>360</v>
      </c>
      <c r="J63" s="66"/>
      <c r="K63" s="66"/>
      <c r="L63" s="66"/>
      <c r="M63" s="66"/>
      <c r="N63" s="66"/>
      <c r="O63" s="66"/>
      <c r="P63" s="66"/>
      <c r="Q63" s="66"/>
      <c r="R63" s="25"/>
      <c r="S63" s="36"/>
      <c r="T63" s="53">
        <f t="shared" si="2"/>
        <v>79960.5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1291</v>
      </c>
      <c r="C64" s="25" t="s">
        <v>170</v>
      </c>
      <c r="D64" s="25" t="s">
        <v>618</v>
      </c>
      <c r="E64" s="53">
        <v>7320</v>
      </c>
      <c r="F64" s="50"/>
      <c r="G64" s="35">
        <v>61</v>
      </c>
      <c r="H64" s="35">
        <v>120</v>
      </c>
      <c r="I64" s="53">
        <v>7320</v>
      </c>
      <c r="J64" s="66"/>
      <c r="K64" s="66"/>
      <c r="L64" s="66"/>
      <c r="M64" s="66"/>
      <c r="N64" s="66"/>
      <c r="O64" s="67"/>
      <c r="P64" s="66"/>
      <c r="Q64" s="66"/>
      <c r="R64" s="25"/>
      <c r="S64" s="36"/>
      <c r="T64" s="53">
        <f t="shared" si="2"/>
        <v>72640.5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1292</v>
      </c>
      <c r="C65" s="25" t="s">
        <v>170</v>
      </c>
      <c r="D65" s="25" t="s">
        <v>1308</v>
      </c>
      <c r="E65" s="53">
        <v>960</v>
      </c>
      <c r="F65" s="50"/>
      <c r="G65" s="35">
        <v>8</v>
      </c>
      <c r="H65" s="35">
        <v>120</v>
      </c>
      <c r="I65" s="53">
        <v>960</v>
      </c>
      <c r="J65" s="66"/>
      <c r="K65" s="66"/>
      <c r="L65" s="66"/>
      <c r="M65" s="66"/>
      <c r="N65" s="66"/>
      <c r="O65" s="67"/>
      <c r="P65" s="66"/>
      <c r="Q65" s="66"/>
      <c r="R65" s="25"/>
      <c r="S65" s="36"/>
      <c r="T65" s="53">
        <f t="shared" si="2"/>
        <v>71680.5</v>
      </c>
      <c r="U65" s="42"/>
      <c r="V65" s="42"/>
      <c r="W65" s="42"/>
      <c r="X65" s="42"/>
      <c r="Y65" s="42"/>
    </row>
    <row r="66" ht="15.75" customHeight="1" spans="1:25" x14ac:dyDescent="0.25">
      <c r="A66" s="25"/>
      <c r="B66" s="35">
        <v>1293</v>
      </c>
      <c r="C66" s="25" t="s">
        <v>1255</v>
      </c>
      <c r="D66" s="25" t="s">
        <v>1256</v>
      </c>
      <c r="E66" s="53">
        <v>2100</v>
      </c>
      <c r="F66" s="50"/>
      <c r="G66" s="35"/>
      <c r="H66" s="35"/>
      <c r="I66" s="53"/>
      <c r="J66" s="66"/>
      <c r="K66" s="66"/>
      <c r="L66" s="66">
        <v>2100</v>
      </c>
      <c r="M66" s="66"/>
      <c r="N66" s="66"/>
      <c r="O66" s="66"/>
      <c r="P66" s="66"/>
      <c r="Q66" s="67"/>
      <c r="R66" s="25"/>
      <c r="S66" s="36"/>
      <c r="T66" s="53">
        <f t="shared" si="2"/>
        <v>69580.5</v>
      </c>
      <c r="U66" s="42"/>
      <c r="V66" s="42"/>
      <c r="W66" s="42"/>
      <c r="X66" s="42"/>
      <c r="Y66" s="42"/>
    </row>
    <row r="67" ht="15.75" customHeight="1" spans="1:25" x14ac:dyDescent="0.25">
      <c r="A67" s="25" t="s">
        <v>1309</v>
      </c>
      <c r="B67" s="35">
        <v>1294</v>
      </c>
      <c r="C67" s="25" t="s">
        <v>1310</v>
      </c>
      <c r="D67" s="25" t="s">
        <v>1311</v>
      </c>
      <c r="E67" s="53">
        <v>1000</v>
      </c>
      <c r="F67" s="50"/>
      <c r="G67" s="35"/>
      <c r="H67" s="35"/>
      <c r="I67" s="53"/>
      <c r="J67" s="66"/>
      <c r="K67" s="66">
        <v>1000</v>
      </c>
      <c r="L67" s="66"/>
      <c r="M67" s="66"/>
      <c r="N67" s="66"/>
      <c r="O67" s="66"/>
      <c r="P67" s="67"/>
      <c r="Q67" s="66"/>
      <c r="R67" s="25"/>
      <c r="S67" s="36"/>
      <c r="T67" s="53">
        <f t="shared" si="2"/>
        <v>68580.5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1295</v>
      </c>
      <c r="C68" s="25" t="s">
        <v>1312</v>
      </c>
      <c r="D68" s="25" t="s">
        <v>1313</v>
      </c>
      <c r="E68" s="53">
        <v>3500</v>
      </c>
      <c r="F68" s="50"/>
      <c r="G68" s="35"/>
      <c r="H68" s="35"/>
      <c r="I68" s="53"/>
      <c r="J68" s="66"/>
      <c r="K68" s="66">
        <v>3500</v>
      </c>
      <c r="L68" s="66"/>
      <c r="M68" s="66"/>
      <c r="N68" s="66"/>
      <c r="O68" s="66"/>
      <c r="P68" s="66"/>
      <c r="Q68" s="66"/>
      <c r="R68" s="25"/>
      <c r="S68" s="36"/>
      <c r="T68" s="53">
        <f t="shared" si="2"/>
        <v>65080.5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1296</v>
      </c>
      <c r="C69" s="25" t="s">
        <v>1314</v>
      </c>
      <c r="D69" s="25" t="s">
        <v>1315</v>
      </c>
      <c r="E69" s="53">
        <v>640</v>
      </c>
      <c r="F69" s="50"/>
      <c r="G69" s="25"/>
      <c r="H69" s="25"/>
      <c r="I69" s="65"/>
      <c r="J69" s="66"/>
      <c r="K69" s="66"/>
      <c r="L69" s="66"/>
      <c r="M69" s="66"/>
      <c r="N69" s="66"/>
      <c r="O69" s="66"/>
      <c r="P69" s="66">
        <v>640</v>
      </c>
      <c r="Q69" s="66"/>
      <c r="R69" s="25"/>
      <c r="S69" s="36"/>
      <c r="T69" s="53">
        <f t="shared" si="2"/>
        <v>64440.5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>
        <v>1297</v>
      </c>
      <c r="C70" s="25" t="s">
        <v>1316</v>
      </c>
      <c r="D70" s="25" t="s">
        <v>1317</v>
      </c>
      <c r="E70" s="53">
        <v>1400</v>
      </c>
      <c r="F70" s="50"/>
      <c r="G70" s="25"/>
      <c r="H70" s="25"/>
      <c r="I70" s="65"/>
      <c r="J70" s="66"/>
      <c r="K70" s="66">
        <v>1400</v>
      </c>
      <c r="L70" s="66"/>
      <c r="M70" s="66"/>
      <c r="N70" s="66"/>
      <c r="O70" s="66"/>
      <c r="P70" s="66"/>
      <c r="Q70" s="66"/>
      <c r="R70" s="25"/>
      <c r="S70" s="36"/>
      <c r="T70" s="53">
        <f t="shared" si="2"/>
        <v>63040.5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>
        <v>1298</v>
      </c>
      <c r="C71" s="25" t="s">
        <v>1318</v>
      </c>
      <c r="D71" s="25" t="s">
        <v>1319</v>
      </c>
      <c r="E71" s="53">
        <v>1320</v>
      </c>
      <c r="F71" s="50"/>
      <c r="G71" s="25"/>
      <c r="H71" s="25"/>
      <c r="I71" s="65"/>
      <c r="J71" s="66"/>
      <c r="K71" s="66">
        <v>1320</v>
      </c>
      <c r="L71" s="66"/>
      <c r="M71" s="66"/>
      <c r="N71" s="66"/>
      <c r="O71" s="66"/>
      <c r="P71" s="66"/>
      <c r="Q71" s="66"/>
      <c r="R71" s="25"/>
      <c r="S71" s="36"/>
      <c r="T71" s="53">
        <f t="shared" si="2"/>
        <v>61720.5</v>
      </c>
      <c r="U71" s="42"/>
      <c r="V71" s="42"/>
      <c r="W71" s="42"/>
      <c r="X71" s="42"/>
      <c r="Y71" s="42"/>
    </row>
    <row r="72" ht="15.75" customHeight="1" spans="1:25" x14ac:dyDescent="0.25">
      <c r="A72" s="25"/>
      <c r="B72" s="35">
        <v>1299</v>
      </c>
      <c r="C72" s="25" t="s">
        <v>1320</v>
      </c>
      <c r="D72" s="25" t="s">
        <v>1321</v>
      </c>
      <c r="E72" s="53">
        <v>4560</v>
      </c>
      <c r="F72" s="50"/>
      <c r="G72" s="25"/>
      <c r="H72" s="25"/>
      <c r="I72" s="65"/>
      <c r="J72" s="66"/>
      <c r="K72" s="66">
        <v>4560</v>
      </c>
      <c r="L72" s="66"/>
      <c r="M72" s="66"/>
      <c r="N72" s="66"/>
      <c r="O72" s="66"/>
      <c r="P72" s="66"/>
      <c r="Q72" s="66"/>
      <c r="R72" s="25"/>
      <c r="S72" s="36"/>
      <c r="T72" s="53">
        <f t="shared" si="2"/>
        <v>57160.5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>
        <v>1300</v>
      </c>
      <c r="C73" s="25" t="s">
        <v>1322</v>
      </c>
      <c r="D73" s="25" t="s">
        <v>1323</v>
      </c>
      <c r="E73" s="53">
        <v>560</v>
      </c>
      <c r="F73" s="50"/>
      <c r="G73" s="25"/>
      <c r="H73" s="25"/>
      <c r="I73" s="65"/>
      <c r="J73" s="66"/>
      <c r="K73" s="66"/>
      <c r="L73" s="66"/>
      <c r="M73" s="66"/>
      <c r="N73" s="66"/>
      <c r="O73" s="66"/>
      <c r="P73" s="66">
        <v>560</v>
      </c>
      <c r="Q73" s="66"/>
      <c r="R73" s="25"/>
      <c r="S73" s="36"/>
      <c r="T73" s="53">
        <f t="shared" si="2"/>
        <v>56600.5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>
        <v>1301</v>
      </c>
      <c r="C74" s="25" t="s">
        <v>1324</v>
      </c>
      <c r="D74" s="25" t="s">
        <v>1311</v>
      </c>
      <c r="E74" s="53">
        <v>2500</v>
      </c>
      <c r="F74" s="50"/>
      <c r="G74" s="25"/>
      <c r="H74" s="25"/>
      <c r="I74" s="65"/>
      <c r="J74" s="66"/>
      <c r="K74" s="66">
        <v>2500</v>
      </c>
      <c r="L74" s="66"/>
      <c r="M74" s="66"/>
      <c r="N74" s="66"/>
      <c r="O74" s="66"/>
      <c r="P74" s="66"/>
      <c r="Q74" s="66"/>
      <c r="R74" s="25"/>
      <c r="S74" s="36"/>
      <c r="T74" s="53">
        <f t="shared" si="2"/>
        <v>54100.5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>
        <v>1302</v>
      </c>
      <c r="C75" s="25" t="s">
        <v>1294</v>
      </c>
      <c r="D75" s="25" t="s">
        <v>151</v>
      </c>
      <c r="E75" s="53">
        <v>3720</v>
      </c>
      <c r="F75" s="50"/>
      <c r="G75" s="35">
        <v>31</v>
      </c>
      <c r="H75" s="35">
        <v>120</v>
      </c>
      <c r="I75" s="53">
        <v>3720</v>
      </c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2"/>
        <v>50380.5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>
        <v>1303</v>
      </c>
      <c r="C76" s="25" t="s">
        <v>1300</v>
      </c>
      <c r="D76" s="25" t="s">
        <v>1301</v>
      </c>
      <c r="E76" s="53">
        <v>5260</v>
      </c>
      <c r="F76" s="68"/>
      <c r="G76" s="35"/>
      <c r="H76" s="35"/>
      <c r="I76" s="53"/>
      <c r="J76" s="66"/>
      <c r="K76" s="67"/>
      <c r="L76" s="66"/>
      <c r="M76" s="66"/>
      <c r="N76" s="66"/>
      <c r="O76" s="66"/>
      <c r="P76" s="66">
        <v>5260</v>
      </c>
      <c r="Q76" s="66"/>
      <c r="R76" s="25"/>
      <c r="S76" s="36"/>
      <c r="T76" s="53">
        <f t="shared" si="2"/>
        <v>45120.5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>
        <v>1304</v>
      </c>
      <c r="C77" s="25" t="s">
        <v>1325</v>
      </c>
      <c r="D77" s="25" t="s">
        <v>1326</v>
      </c>
      <c r="E77" s="53">
        <v>1500</v>
      </c>
      <c r="F77" s="50"/>
      <c r="G77" s="35"/>
      <c r="H77" s="35"/>
      <c r="I77" s="53"/>
      <c r="J77" s="66"/>
      <c r="K77" s="66">
        <v>1500</v>
      </c>
      <c r="L77" s="66"/>
      <c r="M77" s="66"/>
      <c r="N77" s="66"/>
      <c r="O77" s="66"/>
      <c r="P77" s="66"/>
      <c r="Q77" s="66"/>
      <c r="R77" s="25"/>
      <c r="S77" s="36"/>
      <c r="T77" s="53">
        <f t="shared" si="2"/>
        <v>43620.5</v>
      </c>
      <c r="U77" s="42"/>
      <c r="V77" s="42"/>
      <c r="W77" s="42"/>
      <c r="X77" s="42"/>
      <c r="Y77" s="42"/>
    </row>
    <row r="78" ht="15.75" customHeight="1" spans="1:25" x14ac:dyDescent="0.25">
      <c r="A78" s="25" t="s">
        <v>1327</v>
      </c>
      <c r="B78" s="35">
        <v>1305</v>
      </c>
      <c r="C78" s="25" t="s">
        <v>410</v>
      </c>
      <c r="D78" s="25" t="s">
        <v>1301</v>
      </c>
      <c r="E78" s="53">
        <v>1684</v>
      </c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>
        <v>1684</v>
      </c>
      <c r="Q78" s="66"/>
      <c r="R78" s="25"/>
      <c r="S78" s="36"/>
      <c r="T78" s="53">
        <f t="shared" si="2"/>
        <v>41936.5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>
        <v>1306</v>
      </c>
      <c r="C79" s="25" t="s">
        <v>1328</v>
      </c>
      <c r="D79" s="25" t="s">
        <v>1329</v>
      </c>
      <c r="E79" s="53">
        <v>1000</v>
      </c>
      <c r="F79" s="50"/>
      <c r="G79" s="35"/>
      <c r="H79" s="35"/>
      <c r="I79" s="53"/>
      <c r="J79" s="66"/>
      <c r="K79" s="66"/>
      <c r="L79" s="66"/>
      <c r="M79" s="66"/>
      <c r="N79" s="66"/>
      <c r="O79" s="66"/>
      <c r="P79" s="66">
        <v>1000</v>
      </c>
      <c r="Q79" s="66"/>
      <c r="R79" s="25"/>
      <c r="S79" s="36"/>
      <c r="T79" s="53">
        <f t="shared" si="2"/>
        <v>40936.5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>
        <v>1307</v>
      </c>
      <c r="C80" s="25" t="s">
        <v>1330</v>
      </c>
      <c r="D80" s="25" t="s">
        <v>1029</v>
      </c>
      <c r="E80" s="53">
        <v>500</v>
      </c>
      <c r="F80" s="50"/>
      <c r="G80" s="35"/>
      <c r="H80" s="35"/>
      <c r="I80" s="53"/>
      <c r="J80" s="66"/>
      <c r="K80" s="66">
        <v>500</v>
      </c>
      <c r="L80" s="66"/>
      <c r="M80" s="66"/>
      <c r="N80" s="66"/>
      <c r="O80" s="66"/>
      <c r="P80" s="67"/>
      <c r="Q80" s="66"/>
      <c r="R80" s="25"/>
      <c r="S80" s="36"/>
      <c r="T80" s="53">
        <f t="shared" si="2"/>
        <v>40436.5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>
        <v>1308</v>
      </c>
      <c r="C81" s="25" t="s">
        <v>1294</v>
      </c>
      <c r="D81" s="25" t="s">
        <v>151</v>
      </c>
      <c r="E81" s="53">
        <v>3480</v>
      </c>
      <c r="F81" s="50"/>
      <c r="G81" s="35">
        <v>29</v>
      </c>
      <c r="H81" s="35">
        <v>120</v>
      </c>
      <c r="I81" s="53">
        <v>3480</v>
      </c>
      <c r="J81" s="66"/>
      <c r="K81" s="66"/>
      <c r="L81" s="66"/>
      <c r="M81" s="66"/>
      <c r="N81" s="66"/>
      <c r="O81" s="66"/>
      <c r="P81" s="66"/>
      <c r="Q81" s="67"/>
      <c r="R81" s="25"/>
      <c r="S81" s="36"/>
      <c r="T81" s="53">
        <f t="shared" si="2"/>
        <v>36956.5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>
        <v>1309</v>
      </c>
      <c r="C82" s="25" t="s">
        <v>1331</v>
      </c>
      <c r="D82" s="25" t="s">
        <v>844</v>
      </c>
      <c r="E82" s="53">
        <v>1500</v>
      </c>
      <c r="F82" s="50"/>
      <c r="G82" s="25"/>
      <c r="H82" s="25"/>
      <c r="I82" s="65"/>
      <c r="J82" s="66"/>
      <c r="K82" s="66">
        <v>1500</v>
      </c>
      <c r="L82" s="66"/>
      <c r="M82" s="66"/>
      <c r="N82" s="66"/>
      <c r="O82" s="66"/>
      <c r="P82" s="67"/>
      <c r="Q82" s="66"/>
      <c r="R82" s="25"/>
      <c r="S82" s="36"/>
      <c r="T82" s="53">
        <f t="shared" si="2"/>
        <v>35456.5</v>
      </c>
      <c r="U82" s="42"/>
      <c r="V82" s="42"/>
      <c r="W82" s="42"/>
      <c r="X82" s="42"/>
      <c r="Y82" s="42"/>
    </row>
    <row r="83" ht="15.75" customHeight="1" spans="1:25" x14ac:dyDescent="0.25">
      <c r="A83" s="25" t="s">
        <v>1327</v>
      </c>
      <c r="B83" s="35">
        <v>1310</v>
      </c>
      <c r="C83" s="25" t="s">
        <v>1332</v>
      </c>
      <c r="D83" s="25" t="s">
        <v>270</v>
      </c>
      <c r="E83" s="53">
        <v>4350</v>
      </c>
      <c r="F83" s="50"/>
      <c r="G83" s="35"/>
      <c r="H83" s="35"/>
      <c r="I83" s="53"/>
      <c r="J83" s="66"/>
      <c r="K83" s="66"/>
      <c r="L83" s="66"/>
      <c r="M83" s="66"/>
      <c r="N83" s="66">
        <v>4350</v>
      </c>
      <c r="O83" s="66"/>
      <c r="P83" s="67"/>
      <c r="Q83" s="66"/>
      <c r="R83" s="25"/>
      <c r="S83" s="36"/>
      <c r="T83" s="53">
        <f t="shared" si="2"/>
        <v>31106.5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>
        <v>1311</v>
      </c>
      <c r="C84" s="25" t="s">
        <v>1333</v>
      </c>
      <c r="D84" s="25" t="s">
        <v>817</v>
      </c>
      <c r="E84" s="53">
        <v>200</v>
      </c>
      <c r="F84" s="50"/>
      <c r="G84" s="35"/>
      <c r="H84" s="35"/>
      <c r="I84" s="53"/>
      <c r="J84" s="66"/>
      <c r="K84" s="66"/>
      <c r="L84" s="66"/>
      <c r="M84" s="66"/>
      <c r="N84" s="66"/>
      <c r="O84" s="66">
        <v>200</v>
      </c>
      <c r="P84" s="67"/>
      <c r="Q84" s="66"/>
      <c r="R84" s="25"/>
      <c r="S84" s="36"/>
      <c r="T84" s="53">
        <f t="shared" si="2"/>
        <v>30906.5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>
        <v>1312</v>
      </c>
      <c r="C85" s="25" t="s">
        <v>170</v>
      </c>
      <c r="D85" s="25" t="s">
        <v>618</v>
      </c>
      <c r="E85" s="53">
        <v>8520</v>
      </c>
      <c r="F85" s="50"/>
      <c r="G85" s="35">
        <v>71</v>
      </c>
      <c r="H85" s="35">
        <v>120</v>
      </c>
      <c r="I85" s="53">
        <v>8520</v>
      </c>
      <c r="J85" s="66"/>
      <c r="K85" s="66"/>
      <c r="L85" s="66"/>
      <c r="M85" s="66"/>
      <c r="N85" s="66"/>
      <c r="O85" s="66"/>
      <c r="P85" s="66"/>
      <c r="Q85" s="66"/>
      <c r="R85" s="25"/>
      <c r="S85" s="36"/>
      <c r="T85" s="53">
        <f t="shared" si="2"/>
        <v>22386.5</v>
      </c>
      <c r="U85" s="42"/>
      <c r="V85" s="42"/>
      <c r="W85" s="42"/>
      <c r="X85" s="42"/>
      <c r="Y85" s="42"/>
    </row>
    <row r="86" ht="15.75" customHeight="1" spans="1:25" x14ac:dyDescent="0.25">
      <c r="A86" s="25"/>
      <c r="B86" s="35">
        <v>1313</v>
      </c>
      <c r="C86" s="25" t="s">
        <v>170</v>
      </c>
      <c r="D86" s="25" t="s">
        <v>1308</v>
      </c>
      <c r="E86" s="53">
        <v>720</v>
      </c>
      <c r="F86" s="50"/>
      <c r="G86" s="35">
        <v>6</v>
      </c>
      <c r="H86" s="35">
        <v>120</v>
      </c>
      <c r="I86" s="53">
        <v>720</v>
      </c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2"/>
        <v>21666.5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>
        <v>1314</v>
      </c>
      <c r="C87" s="25" t="s">
        <v>170</v>
      </c>
      <c r="D87" s="25" t="s">
        <v>200</v>
      </c>
      <c r="E87" s="53">
        <v>27600</v>
      </c>
      <c r="F87" s="50"/>
      <c r="G87" s="35">
        <v>230</v>
      </c>
      <c r="H87" s="35">
        <v>120</v>
      </c>
      <c r="I87" s="53">
        <v>27600</v>
      </c>
      <c r="J87" s="66"/>
      <c r="K87" s="66"/>
      <c r="L87" s="66"/>
      <c r="M87" s="66"/>
      <c r="N87" s="66"/>
      <c r="O87" s="66"/>
      <c r="P87" s="66"/>
      <c r="Q87" s="66"/>
      <c r="R87" s="25"/>
      <c r="S87" s="36"/>
      <c r="T87" s="53">
        <f t="shared" si="2"/>
        <v>-5933.5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>
        <v>1315</v>
      </c>
      <c r="C88" s="25" t="s">
        <v>170</v>
      </c>
      <c r="D88" s="25" t="s">
        <v>54</v>
      </c>
      <c r="E88" s="53">
        <v>6600</v>
      </c>
      <c r="F88" s="50"/>
      <c r="G88" s="35">
        <v>55</v>
      </c>
      <c r="H88" s="35">
        <v>120</v>
      </c>
      <c r="I88" s="53">
        <v>6600</v>
      </c>
      <c r="J88" s="66"/>
      <c r="K88" s="66"/>
      <c r="L88" s="66"/>
      <c r="M88" s="66"/>
      <c r="N88" s="66"/>
      <c r="O88" s="66"/>
      <c r="P88" s="66"/>
      <c r="Q88" s="66"/>
      <c r="R88" s="25"/>
      <c r="S88" s="36"/>
      <c r="T88" s="53">
        <f t="shared" si="2"/>
        <v>-12533.5</v>
      </c>
      <c r="U88" s="42"/>
      <c r="V88" s="42"/>
      <c r="W88" s="42"/>
      <c r="X88" s="42"/>
      <c r="Y88" s="42"/>
    </row>
    <row r="89" ht="15.75" customHeight="1" spans="1:25" x14ac:dyDescent="0.25">
      <c r="A89" s="25" t="s">
        <v>1334</v>
      </c>
      <c r="B89" s="35">
        <v>1316</v>
      </c>
      <c r="C89" s="25" t="s">
        <v>94</v>
      </c>
      <c r="D89" s="25" t="s">
        <v>420</v>
      </c>
      <c r="E89" s="53">
        <v>3300</v>
      </c>
      <c r="F89" s="50"/>
      <c r="G89" s="35">
        <v>22</v>
      </c>
      <c r="H89" s="35">
        <v>150</v>
      </c>
      <c r="I89" s="53">
        <v>3300</v>
      </c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2"/>
        <v>-15833.5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>
        <v>1317</v>
      </c>
      <c r="C90" s="25" t="s">
        <v>1294</v>
      </c>
      <c r="D90" s="25" t="s">
        <v>151</v>
      </c>
      <c r="E90" s="53">
        <v>5280</v>
      </c>
      <c r="F90" s="50"/>
      <c r="G90" s="35">
        <v>44</v>
      </c>
      <c r="H90" s="35">
        <v>120</v>
      </c>
      <c r="I90" s="53">
        <v>5280</v>
      </c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2"/>
        <v>-21113.5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>
        <v>1318</v>
      </c>
      <c r="C91" s="25" t="s">
        <v>170</v>
      </c>
      <c r="D91" s="25" t="s">
        <v>1200</v>
      </c>
      <c r="E91" s="53">
        <v>14880</v>
      </c>
      <c r="F91" s="50"/>
      <c r="G91" s="35">
        <v>124</v>
      </c>
      <c r="H91" s="35">
        <v>120</v>
      </c>
      <c r="I91" s="53">
        <v>14880</v>
      </c>
      <c r="J91" s="66"/>
      <c r="K91" s="66"/>
      <c r="L91" s="66"/>
      <c r="M91" s="66"/>
      <c r="N91" s="66"/>
      <c r="O91" s="66"/>
      <c r="P91" s="66"/>
      <c r="Q91" s="66"/>
      <c r="R91" s="25"/>
      <c r="S91" s="36"/>
      <c r="T91" s="53">
        <f t="shared" si="2"/>
        <v>-35993.5</v>
      </c>
      <c r="U91" s="42"/>
      <c r="V91" s="42"/>
      <c r="W91" s="42"/>
      <c r="X91" s="42"/>
      <c r="Y91" s="42"/>
    </row>
    <row r="92" ht="15.75" customHeight="1" spans="1:25" x14ac:dyDescent="0.25">
      <c r="A92" s="25" t="s">
        <v>1335</v>
      </c>
      <c r="B92" s="35">
        <v>1319</v>
      </c>
      <c r="C92" s="25" t="s">
        <v>1294</v>
      </c>
      <c r="D92" s="25" t="s">
        <v>924</v>
      </c>
      <c r="E92" s="53">
        <v>25320</v>
      </c>
      <c r="F92" s="50"/>
      <c r="G92" s="35">
        <v>211</v>
      </c>
      <c r="H92" s="35">
        <v>120</v>
      </c>
      <c r="I92" s="53">
        <v>25320</v>
      </c>
      <c r="J92" s="66"/>
      <c r="K92" s="66"/>
      <c r="L92" s="66"/>
      <c r="M92" s="66"/>
      <c r="N92" s="66"/>
      <c r="O92" s="66"/>
      <c r="P92" s="66"/>
      <c r="Q92" s="66"/>
      <c r="R92" s="25"/>
      <c r="S92" s="36"/>
      <c r="T92" s="53">
        <f t="shared" si="2"/>
        <v>-61313.5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>
        <v>1320</v>
      </c>
      <c r="C93" s="25" t="s">
        <v>170</v>
      </c>
      <c r="D93" s="25" t="s">
        <v>162</v>
      </c>
      <c r="E93" s="53">
        <v>2160</v>
      </c>
      <c r="F93" s="50"/>
      <c r="G93" s="35">
        <v>18</v>
      </c>
      <c r="H93" s="35">
        <v>120</v>
      </c>
      <c r="I93" s="53">
        <v>2160</v>
      </c>
      <c r="J93" s="66"/>
      <c r="K93" s="66"/>
      <c r="L93" s="66"/>
      <c r="M93" s="66"/>
      <c r="N93" s="66"/>
      <c r="O93" s="66"/>
      <c r="P93" s="66"/>
      <c r="Q93" s="66"/>
      <c r="R93" s="25"/>
      <c r="S93" s="36"/>
      <c r="T93" s="53">
        <f t="shared" si="2"/>
        <v>-63473.5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>
        <v>1321</v>
      </c>
      <c r="C94" s="25" t="s">
        <v>1294</v>
      </c>
      <c r="D94" s="25" t="s">
        <v>151</v>
      </c>
      <c r="E94" s="53">
        <v>6120</v>
      </c>
      <c r="F94" s="50"/>
      <c r="G94" s="35">
        <v>51</v>
      </c>
      <c r="H94" s="35">
        <v>120</v>
      </c>
      <c r="I94" s="53">
        <v>6120</v>
      </c>
      <c r="J94" s="66"/>
      <c r="K94" s="67"/>
      <c r="L94" s="66"/>
      <c r="M94" s="66"/>
      <c r="N94" s="66"/>
      <c r="O94" s="66"/>
      <c r="P94" s="66"/>
      <c r="Q94" s="66"/>
      <c r="R94" s="25"/>
      <c r="S94" s="36"/>
      <c r="T94" s="53">
        <f t="shared" si="2"/>
        <v>-69593.5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>
        <v>1322</v>
      </c>
      <c r="C95" s="25" t="s">
        <v>170</v>
      </c>
      <c r="D95" s="25" t="s">
        <v>54</v>
      </c>
      <c r="E95" s="53">
        <v>8040</v>
      </c>
      <c r="F95" s="50"/>
      <c r="G95" s="35">
        <v>67</v>
      </c>
      <c r="H95" s="35">
        <v>120</v>
      </c>
      <c r="I95" s="53">
        <v>8040</v>
      </c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2"/>
        <v>-77633.5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>
        <v>1323</v>
      </c>
      <c r="C96" s="25" t="s">
        <v>170</v>
      </c>
      <c r="D96" s="25" t="s">
        <v>395</v>
      </c>
      <c r="E96" s="53">
        <v>3360</v>
      </c>
      <c r="F96" s="50"/>
      <c r="G96" s="35">
        <v>28</v>
      </c>
      <c r="H96" s="35">
        <v>120</v>
      </c>
      <c r="I96" s="53">
        <v>3360</v>
      </c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2"/>
        <v>-80993.5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>
        <v>1324</v>
      </c>
      <c r="C97" s="25" t="s">
        <v>170</v>
      </c>
      <c r="D97" s="25" t="s">
        <v>618</v>
      </c>
      <c r="E97" s="53">
        <v>26160</v>
      </c>
      <c r="F97" s="50"/>
      <c r="G97" s="35">
        <v>218</v>
      </c>
      <c r="H97" s="35">
        <v>120</v>
      </c>
      <c r="I97" s="53">
        <v>26160</v>
      </c>
      <c r="J97" s="66"/>
      <c r="K97" s="66"/>
      <c r="L97" s="66"/>
      <c r="M97" s="66"/>
      <c r="N97" s="66"/>
      <c r="O97" s="66"/>
      <c r="P97" s="66"/>
      <c r="Q97" s="67"/>
      <c r="R97" s="25"/>
      <c r="S97" s="36"/>
      <c r="T97" s="53">
        <f t="shared" si="2"/>
        <v>-107153.5</v>
      </c>
      <c r="U97" s="42"/>
      <c r="V97" s="42"/>
      <c r="W97" s="42"/>
      <c r="X97" s="42"/>
      <c r="Y97" s="42"/>
    </row>
    <row r="98" ht="15.75" customHeight="1" spans="1:25" x14ac:dyDescent="0.25">
      <c r="A98" s="25" t="s">
        <v>1336</v>
      </c>
      <c r="B98" s="35">
        <v>1325</v>
      </c>
      <c r="C98" s="25" t="s">
        <v>170</v>
      </c>
      <c r="D98" s="25" t="s">
        <v>52</v>
      </c>
      <c r="E98" s="53">
        <v>2400</v>
      </c>
      <c r="F98" s="50"/>
      <c r="G98" s="35">
        <v>20</v>
      </c>
      <c r="H98" s="35">
        <v>120</v>
      </c>
      <c r="I98" s="53">
        <v>2400</v>
      </c>
      <c r="J98" s="66"/>
      <c r="K98" s="66"/>
      <c r="L98" s="66"/>
      <c r="M98" s="66"/>
      <c r="N98" s="66"/>
      <c r="O98" s="66"/>
      <c r="P98" s="66"/>
      <c r="Q98" s="66"/>
      <c r="R98" s="25"/>
      <c r="S98" s="36"/>
      <c r="T98" s="53">
        <f t="shared" si="2"/>
        <v>-109553.5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>
        <v>1326</v>
      </c>
      <c r="C99" s="25" t="s">
        <v>170</v>
      </c>
      <c r="D99" s="25" t="s">
        <v>69</v>
      </c>
      <c r="E99" s="53">
        <v>1080</v>
      </c>
      <c r="F99" s="50"/>
      <c r="G99" s="35">
        <v>9</v>
      </c>
      <c r="H99" s="35">
        <v>120</v>
      </c>
      <c r="I99" s="53">
        <v>1080</v>
      </c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2"/>
        <v>-110633.5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>
        <v>1327</v>
      </c>
      <c r="C100" s="25" t="s">
        <v>170</v>
      </c>
      <c r="D100" s="25" t="s">
        <v>695</v>
      </c>
      <c r="E100" s="53">
        <v>51000</v>
      </c>
      <c r="F100" s="50"/>
      <c r="G100" s="35">
        <v>425</v>
      </c>
      <c r="H100" s="35">
        <v>120</v>
      </c>
      <c r="I100" s="53">
        <v>51000</v>
      </c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si="2"/>
        <v>-161633.5</v>
      </c>
      <c r="U100" s="42"/>
      <c r="V100" s="42"/>
      <c r="W100" s="42"/>
      <c r="X100" s="42"/>
      <c r="Y100" s="42"/>
    </row>
    <row r="101" ht="15.75" customHeight="1" spans="1:25" x14ac:dyDescent="0.25">
      <c r="A101" s="25" t="s">
        <v>1337</v>
      </c>
      <c r="B101" s="35">
        <v>1328</v>
      </c>
      <c r="C101" s="25" t="s">
        <v>1338</v>
      </c>
      <c r="D101" s="25"/>
      <c r="E101" s="53"/>
      <c r="F101" s="68">
        <v>100000</v>
      </c>
      <c r="G101" s="35"/>
      <c r="H101" s="35"/>
      <c r="I101" s="53"/>
      <c r="J101" s="66"/>
      <c r="K101" s="66"/>
      <c r="L101" s="66"/>
      <c r="M101" s="66"/>
      <c r="N101" s="66"/>
      <c r="O101" s="66"/>
      <c r="P101" s="66"/>
      <c r="Q101" s="66"/>
      <c r="R101" s="25"/>
      <c r="S101" s="36"/>
      <c r="T101" s="53">
        <f>T100-E101+100000</f>
        <v>-61633.5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>
        <v>1329</v>
      </c>
      <c r="C102" s="25" t="s">
        <v>1339</v>
      </c>
      <c r="D102" s="25" t="s">
        <v>1340</v>
      </c>
      <c r="E102" s="53">
        <v>710</v>
      </c>
      <c r="F102" s="50"/>
      <c r="G102" s="35"/>
      <c r="H102" s="35"/>
      <c r="I102" s="53"/>
      <c r="J102" s="66"/>
      <c r="K102" s="66"/>
      <c r="L102" s="66"/>
      <c r="M102" s="66"/>
      <c r="N102" s="66">
        <v>710</v>
      </c>
      <c r="O102" s="66"/>
      <c r="P102" s="66"/>
      <c r="Q102" s="66"/>
      <c r="R102" s="25"/>
      <c r="S102" s="36"/>
      <c r="T102" s="53">
        <f t="shared" ref="T102:T116" si="3">T101-E102</f>
        <v>-62343.5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>
        <v>1330</v>
      </c>
      <c r="C103" s="25" t="s">
        <v>1341</v>
      </c>
      <c r="D103" s="25" t="s">
        <v>1256</v>
      </c>
      <c r="E103" s="53">
        <v>760</v>
      </c>
      <c r="F103" s="50"/>
      <c r="G103" s="35"/>
      <c r="H103" s="35"/>
      <c r="I103" s="53"/>
      <c r="J103" s="66"/>
      <c r="K103" s="66"/>
      <c r="L103" s="66"/>
      <c r="M103" s="66"/>
      <c r="N103" s="66"/>
      <c r="O103" s="66"/>
      <c r="P103" s="66">
        <v>760</v>
      </c>
      <c r="Q103" s="66"/>
      <c r="R103" s="25"/>
      <c r="S103" s="36"/>
      <c r="T103" s="53">
        <f t="shared" si="3"/>
        <v>-63103.5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>
        <v>1331</v>
      </c>
      <c r="C104" s="25" t="s">
        <v>13</v>
      </c>
      <c r="D104" s="25" t="s">
        <v>885</v>
      </c>
      <c r="E104" s="53">
        <v>6000</v>
      </c>
      <c r="F104" s="50"/>
      <c r="G104" s="25"/>
      <c r="H104" s="92"/>
      <c r="I104" s="65"/>
      <c r="J104" s="66"/>
      <c r="K104" s="66"/>
      <c r="L104" s="66"/>
      <c r="M104" s="66"/>
      <c r="N104" s="66"/>
      <c r="O104" s="66"/>
      <c r="P104" s="66"/>
      <c r="Q104" s="66">
        <v>6000</v>
      </c>
      <c r="R104" s="25"/>
      <c r="S104" s="36"/>
      <c r="T104" s="53">
        <f t="shared" si="3"/>
        <v>-69103.5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>
        <v>1332</v>
      </c>
      <c r="C105" s="25" t="s">
        <v>300</v>
      </c>
      <c r="D105" s="25" t="s">
        <v>1267</v>
      </c>
      <c r="E105" s="53">
        <v>3000</v>
      </c>
      <c r="F105" s="50"/>
      <c r="G105" s="25"/>
      <c r="H105" s="25"/>
      <c r="I105" s="65"/>
      <c r="J105" s="66"/>
      <c r="K105" s="66">
        <v>3000</v>
      </c>
      <c r="L105" s="66"/>
      <c r="M105" s="67"/>
      <c r="N105" s="66"/>
      <c r="O105" s="66"/>
      <c r="P105" s="66"/>
      <c r="Q105" s="66"/>
      <c r="R105" s="25"/>
      <c r="S105" s="36"/>
      <c r="T105" s="53">
        <f t="shared" si="3"/>
        <v>-72103.5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>
        <v>1333</v>
      </c>
      <c r="C106" s="25" t="s">
        <v>384</v>
      </c>
      <c r="D106" s="25" t="s">
        <v>1342</v>
      </c>
      <c r="E106" s="53">
        <v>400</v>
      </c>
      <c r="F106" s="50"/>
      <c r="G106" s="25"/>
      <c r="H106" s="25"/>
      <c r="I106" s="65"/>
      <c r="J106" s="66"/>
      <c r="K106" s="66"/>
      <c r="L106" s="66"/>
      <c r="M106" s="66"/>
      <c r="N106" s="66"/>
      <c r="O106" s="66"/>
      <c r="P106" s="66">
        <v>400</v>
      </c>
      <c r="Q106" s="66"/>
      <c r="R106" s="25"/>
      <c r="S106" s="36"/>
      <c r="T106" s="53">
        <f t="shared" si="3"/>
        <v>-72503.5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>
        <v>1334</v>
      </c>
      <c r="C107" s="25" t="s">
        <v>170</v>
      </c>
      <c r="D107" s="25" t="s">
        <v>420</v>
      </c>
      <c r="E107" s="53">
        <v>3480</v>
      </c>
      <c r="F107" s="50"/>
      <c r="G107" s="35">
        <v>29</v>
      </c>
      <c r="H107" s="89">
        <v>120</v>
      </c>
      <c r="I107" s="53">
        <v>3480</v>
      </c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3"/>
        <v>-75983.5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>
        <v>1335</v>
      </c>
      <c r="C108" s="25" t="s">
        <v>170</v>
      </c>
      <c r="D108" s="25" t="s">
        <v>54</v>
      </c>
      <c r="E108" s="53">
        <v>6120</v>
      </c>
      <c r="F108" s="50"/>
      <c r="G108" s="35">
        <v>51</v>
      </c>
      <c r="H108" s="35">
        <v>120</v>
      </c>
      <c r="I108" s="53">
        <v>6120</v>
      </c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3"/>
        <v>-82103.5</v>
      </c>
      <c r="U108" s="42"/>
      <c r="V108" s="42"/>
      <c r="W108" s="42"/>
      <c r="X108" s="42"/>
      <c r="Y108" s="42"/>
    </row>
    <row r="109" ht="15.75" customHeight="1" spans="1:25" x14ac:dyDescent="0.25">
      <c r="A109" s="25" t="s">
        <v>1343</v>
      </c>
      <c r="B109" s="35">
        <v>1336</v>
      </c>
      <c r="C109" s="25" t="s">
        <v>170</v>
      </c>
      <c r="D109" s="25" t="s">
        <v>151</v>
      </c>
      <c r="E109" s="53">
        <v>720</v>
      </c>
      <c r="F109" s="50"/>
      <c r="G109" s="35">
        <v>6</v>
      </c>
      <c r="H109" s="35">
        <v>120</v>
      </c>
      <c r="I109" s="53">
        <v>720</v>
      </c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3"/>
        <v>-82823.5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>
        <v>1337</v>
      </c>
      <c r="C110" s="25" t="s">
        <v>170</v>
      </c>
      <c r="D110" s="48" t="s">
        <v>618</v>
      </c>
      <c r="E110" s="93">
        <v>37800</v>
      </c>
      <c r="F110" s="94"/>
      <c r="G110" s="95">
        <v>315</v>
      </c>
      <c r="H110" s="95">
        <v>120</v>
      </c>
      <c r="I110" s="53">
        <v>37800</v>
      </c>
      <c r="J110" s="66"/>
      <c r="K110" s="66"/>
      <c r="L110" s="66"/>
      <c r="M110" s="66"/>
      <c r="N110" s="66"/>
      <c r="O110" s="66"/>
      <c r="P110" s="66"/>
      <c r="Q110" s="66"/>
      <c r="R110" s="25"/>
      <c r="S110" s="36"/>
      <c r="T110" s="53">
        <f t="shared" si="3"/>
        <v>-120623.5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>
        <v>1338</v>
      </c>
      <c r="C111" s="45" t="s">
        <v>170</v>
      </c>
      <c r="D111" s="26" t="s">
        <v>1344</v>
      </c>
      <c r="E111" s="17">
        <v>1440</v>
      </c>
      <c r="F111" s="57"/>
      <c r="G111" s="29">
        <v>12</v>
      </c>
      <c r="H111" s="29">
        <v>120</v>
      </c>
      <c r="I111" s="53">
        <v>1440</v>
      </c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3"/>
        <v>-122063.5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>
        <v>1339</v>
      </c>
      <c r="C112" s="25" t="s">
        <v>170</v>
      </c>
      <c r="D112" s="25" t="s">
        <v>1308</v>
      </c>
      <c r="E112" s="53">
        <v>360</v>
      </c>
      <c r="F112" s="50"/>
      <c r="G112" s="35">
        <v>3</v>
      </c>
      <c r="H112" s="35">
        <v>120</v>
      </c>
      <c r="I112" s="53">
        <v>360</v>
      </c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 t="shared" si="3"/>
        <v>-122423.5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>
        <v>1340</v>
      </c>
      <c r="C113" s="25" t="s">
        <v>170</v>
      </c>
      <c r="D113" s="25" t="s">
        <v>1097</v>
      </c>
      <c r="E113" s="53">
        <v>7800</v>
      </c>
      <c r="F113" s="50"/>
      <c r="G113" s="35">
        <v>65</v>
      </c>
      <c r="H113" s="35">
        <v>120</v>
      </c>
      <c r="I113" s="53">
        <v>7800</v>
      </c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 t="shared" si="3"/>
        <v>-130223.5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>
        <v>1341</v>
      </c>
      <c r="C114" s="25" t="s">
        <v>170</v>
      </c>
      <c r="D114" s="25" t="s">
        <v>54</v>
      </c>
      <c r="E114" s="53">
        <v>9600</v>
      </c>
      <c r="F114" s="50"/>
      <c r="G114" s="35">
        <v>80</v>
      </c>
      <c r="H114" s="35">
        <v>120</v>
      </c>
      <c r="I114" s="53">
        <v>9600</v>
      </c>
      <c r="J114" s="66"/>
      <c r="K114" s="66"/>
      <c r="L114" s="66"/>
      <c r="M114" s="67"/>
      <c r="N114" s="66"/>
      <c r="O114" s="66"/>
      <c r="P114" s="66"/>
      <c r="Q114" s="66"/>
      <c r="R114" s="25"/>
      <c r="S114" s="36"/>
      <c r="T114" s="53">
        <f t="shared" si="3"/>
        <v>-139823.5</v>
      </c>
      <c r="U114" s="42"/>
      <c r="V114" s="42"/>
      <c r="W114" s="42"/>
      <c r="X114" s="42"/>
      <c r="Y114" s="42"/>
    </row>
    <row r="115" ht="15.75" customHeight="1" spans="1:25" x14ac:dyDescent="0.25">
      <c r="A115" s="25" t="s">
        <v>1345</v>
      </c>
      <c r="B115" s="35">
        <v>1342</v>
      </c>
      <c r="C115" s="25" t="s">
        <v>1346</v>
      </c>
      <c r="D115" s="25" t="s">
        <v>91</v>
      </c>
      <c r="E115" s="53">
        <v>2660</v>
      </c>
      <c r="F115" s="50"/>
      <c r="G115" s="35">
        <v>38</v>
      </c>
      <c r="H115" s="35">
        <v>70</v>
      </c>
      <c r="I115" s="53">
        <v>2660</v>
      </c>
      <c r="J115" s="66"/>
      <c r="K115" s="66"/>
      <c r="L115" s="66"/>
      <c r="M115" s="66"/>
      <c r="N115" s="66"/>
      <c r="O115" s="66"/>
      <c r="P115" s="67"/>
      <c r="Q115" s="66"/>
      <c r="R115" s="25"/>
      <c r="S115" s="36"/>
      <c r="T115" s="53">
        <f t="shared" si="3"/>
        <v>-142483.5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>
        <v>1343</v>
      </c>
      <c r="C116" s="25" t="s">
        <v>170</v>
      </c>
      <c r="D116" s="25" t="s">
        <v>69</v>
      </c>
      <c r="E116" s="53">
        <v>480</v>
      </c>
      <c r="F116" s="50"/>
      <c r="G116" s="35">
        <v>4</v>
      </c>
      <c r="H116" s="35">
        <v>120</v>
      </c>
      <c r="I116" s="53">
        <v>480</v>
      </c>
      <c r="J116" s="66"/>
      <c r="K116" s="66"/>
      <c r="L116" s="66"/>
      <c r="M116" s="66"/>
      <c r="N116" s="66"/>
      <c r="O116" s="66"/>
      <c r="P116" s="66"/>
      <c r="Q116" s="66"/>
      <c r="R116" s="25"/>
      <c r="S116" s="55"/>
      <c r="T116" s="53">
        <f t="shared" si="3"/>
        <v>-142963.5</v>
      </c>
      <c r="U116" s="42"/>
      <c r="V116" s="42"/>
      <c r="W116" s="42"/>
      <c r="X116" s="42"/>
      <c r="Y116" s="42"/>
    </row>
    <row r="117" ht="15.75" customHeight="1" spans="1:25" x14ac:dyDescent="0.25">
      <c r="A117" s="25" t="s">
        <v>1347</v>
      </c>
      <c r="B117" s="35"/>
      <c r="C117" s="25" t="s">
        <v>1092</v>
      </c>
      <c r="D117" s="25"/>
      <c r="E117" s="53"/>
      <c r="F117" s="68">
        <v>200000</v>
      </c>
      <c r="G117" s="35"/>
      <c r="H117" s="35"/>
      <c r="I117" s="53"/>
      <c r="J117" s="66"/>
      <c r="K117" s="66"/>
      <c r="L117" s="66"/>
      <c r="M117" s="66"/>
      <c r="N117" s="66"/>
      <c r="O117" s="66"/>
      <c r="P117" s="66"/>
      <c r="Q117" s="66"/>
      <c r="R117" s="25"/>
      <c r="S117" s="36"/>
      <c r="T117" s="53">
        <f>T116-E117+200000</f>
        <v>57036.5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>
        <v>1344</v>
      </c>
      <c r="C118" s="25" t="s">
        <v>440</v>
      </c>
      <c r="D118" s="25" t="s">
        <v>420</v>
      </c>
      <c r="E118" s="53">
        <v>1800</v>
      </c>
      <c r="F118" s="50"/>
      <c r="G118" s="35">
        <v>12</v>
      </c>
      <c r="H118" s="35">
        <v>150</v>
      </c>
      <c r="I118" s="53">
        <v>1800</v>
      </c>
      <c r="J118" s="66"/>
      <c r="K118" s="66"/>
      <c r="L118" s="66"/>
      <c r="M118" s="66"/>
      <c r="N118" s="66"/>
      <c r="O118" s="66"/>
      <c r="P118" s="66"/>
      <c r="Q118" s="66"/>
      <c r="R118" s="25"/>
      <c r="S118" s="36"/>
      <c r="T118" s="53">
        <f t="shared" ref="T118:T129" si="4">T117-E118</f>
        <v>55236.5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>
        <v>1345</v>
      </c>
      <c r="C119" s="25" t="s">
        <v>170</v>
      </c>
      <c r="D119" s="25" t="s">
        <v>507</v>
      </c>
      <c r="E119" s="53">
        <v>3300</v>
      </c>
      <c r="F119" s="50"/>
      <c r="G119" s="35">
        <v>33</v>
      </c>
      <c r="H119" s="35">
        <v>100</v>
      </c>
      <c r="I119" s="53">
        <v>3300</v>
      </c>
      <c r="J119" s="66"/>
      <c r="K119" s="66"/>
      <c r="L119" s="66"/>
      <c r="M119" s="66"/>
      <c r="N119" s="66"/>
      <c r="O119" s="66"/>
      <c r="P119" s="66"/>
      <c r="Q119" s="66"/>
      <c r="R119" s="25"/>
      <c r="S119" s="36"/>
      <c r="T119" s="53">
        <f t="shared" si="4"/>
        <v>51936.5</v>
      </c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>
        <v>1346</v>
      </c>
      <c r="C120" s="25" t="s">
        <v>170</v>
      </c>
      <c r="D120" s="25" t="s">
        <v>1348</v>
      </c>
      <c r="E120" s="53">
        <v>7470</v>
      </c>
      <c r="F120" s="50"/>
      <c r="G120" s="35">
        <v>83</v>
      </c>
      <c r="H120" s="35">
        <v>90</v>
      </c>
      <c r="I120" s="53">
        <v>7470</v>
      </c>
      <c r="J120" s="66"/>
      <c r="K120" s="66"/>
      <c r="L120" s="66"/>
      <c r="M120" s="67"/>
      <c r="N120" s="66"/>
      <c r="O120" s="66"/>
      <c r="P120" s="66"/>
      <c r="Q120" s="66"/>
      <c r="R120" s="25"/>
      <c r="S120" s="36"/>
      <c r="T120" s="53">
        <f t="shared" si="4"/>
        <v>44466.5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>
        <v>1347</v>
      </c>
      <c r="C121" s="25" t="s">
        <v>170</v>
      </c>
      <c r="D121" s="25" t="s">
        <v>1349</v>
      </c>
      <c r="E121" s="53">
        <v>4500</v>
      </c>
      <c r="F121" s="50"/>
      <c r="G121" s="35">
        <v>50</v>
      </c>
      <c r="H121" s="35">
        <v>90</v>
      </c>
      <c r="I121" s="53">
        <v>4500</v>
      </c>
      <c r="J121" s="66"/>
      <c r="K121" s="66"/>
      <c r="L121" s="66"/>
      <c r="M121" s="66"/>
      <c r="N121" s="66"/>
      <c r="O121" s="66"/>
      <c r="P121" s="67"/>
      <c r="Q121" s="66"/>
      <c r="R121" s="25"/>
      <c r="S121" s="36"/>
      <c r="T121" s="53">
        <f t="shared" si="4"/>
        <v>39966.5</v>
      </c>
      <c r="U121" s="42"/>
      <c r="V121" s="42"/>
      <c r="W121" s="42"/>
      <c r="X121" s="42"/>
      <c r="Y121" s="42"/>
    </row>
    <row r="122" ht="15.75" customHeight="1" spans="1:25" x14ac:dyDescent="0.25">
      <c r="A122" s="25" t="s">
        <v>1350</v>
      </c>
      <c r="B122" s="35">
        <v>1348</v>
      </c>
      <c r="C122" s="25" t="s">
        <v>170</v>
      </c>
      <c r="D122" s="25" t="s">
        <v>1351</v>
      </c>
      <c r="E122" s="53">
        <v>5220</v>
      </c>
      <c r="F122" s="50"/>
      <c r="G122" s="35">
        <v>58</v>
      </c>
      <c r="H122" s="35">
        <v>90</v>
      </c>
      <c r="I122" s="53">
        <v>5220</v>
      </c>
      <c r="J122" s="66"/>
      <c r="K122" s="66"/>
      <c r="L122" s="66"/>
      <c r="M122" s="66"/>
      <c r="N122" s="66"/>
      <c r="O122" s="66"/>
      <c r="P122" s="66"/>
      <c r="Q122" s="66"/>
      <c r="R122" s="25"/>
      <c r="S122" s="36"/>
      <c r="T122" s="53">
        <f t="shared" si="4"/>
        <v>34746.5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>
        <v>1349</v>
      </c>
      <c r="C123" s="25" t="s">
        <v>170</v>
      </c>
      <c r="D123" s="25" t="s">
        <v>1352</v>
      </c>
      <c r="E123" s="53">
        <v>1200</v>
      </c>
      <c r="F123" s="50"/>
      <c r="G123" s="35">
        <v>12</v>
      </c>
      <c r="H123" s="35">
        <v>100</v>
      </c>
      <c r="I123" s="53">
        <v>1200</v>
      </c>
      <c r="J123" s="66"/>
      <c r="K123" s="66"/>
      <c r="L123" s="66"/>
      <c r="M123" s="66"/>
      <c r="N123" s="66"/>
      <c r="O123" s="66"/>
      <c r="P123" s="66"/>
      <c r="Q123" s="66"/>
      <c r="R123" s="25"/>
      <c r="S123" s="36"/>
      <c r="T123" s="53">
        <f t="shared" si="4"/>
        <v>33546.5</v>
      </c>
      <c r="U123" s="42"/>
      <c r="V123" s="42"/>
      <c r="W123" s="42"/>
      <c r="X123" s="42"/>
      <c r="Y123" s="42"/>
    </row>
    <row r="124" ht="15.75" customHeight="1" spans="1:25" x14ac:dyDescent="0.25">
      <c r="A124" s="25"/>
      <c r="B124" s="35">
        <v>1350</v>
      </c>
      <c r="C124" s="25" t="s">
        <v>170</v>
      </c>
      <c r="D124" s="25" t="s">
        <v>1200</v>
      </c>
      <c r="E124" s="53">
        <v>19080</v>
      </c>
      <c r="F124" s="50"/>
      <c r="G124" s="35">
        <v>159</v>
      </c>
      <c r="H124" s="35">
        <v>120</v>
      </c>
      <c r="I124" s="53">
        <v>19080</v>
      </c>
      <c r="J124" s="66"/>
      <c r="K124" s="66"/>
      <c r="L124" s="67"/>
      <c r="M124" s="66"/>
      <c r="N124" s="66"/>
      <c r="O124" s="66"/>
      <c r="P124" s="66"/>
      <c r="Q124" s="66"/>
      <c r="R124" s="25"/>
      <c r="S124" s="36"/>
      <c r="T124" s="53">
        <f t="shared" si="4"/>
        <v>14466.5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>
        <v>1351</v>
      </c>
      <c r="C125" s="25" t="s">
        <v>170</v>
      </c>
      <c r="D125" s="25" t="s">
        <v>432</v>
      </c>
      <c r="E125" s="53">
        <v>1300</v>
      </c>
      <c r="F125" s="50"/>
      <c r="G125" s="35">
        <v>13</v>
      </c>
      <c r="H125" s="35">
        <v>100</v>
      </c>
      <c r="I125" s="53">
        <v>1300</v>
      </c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4"/>
        <v>13166.5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>
        <v>1352</v>
      </c>
      <c r="C126" s="25" t="s">
        <v>744</v>
      </c>
      <c r="D126" s="25" t="s">
        <v>1061</v>
      </c>
      <c r="E126" s="53">
        <v>2700</v>
      </c>
      <c r="F126" s="50"/>
      <c r="G126" s="35">
        <v>45</v>
      </c>
      <c r="H126" s="35">
        <v>60</v>
      </c>
      <c r="I126" s="53">
        <v>2700</v>
      </c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4"/>
        <v>10466.5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>
        <v>1353</v>
      </c>
      <c r="C127" s="25" t="s">
        <v>1353</v>
      </c>
      <c r="D127" s="25" t="s">
        <v>91</v>
      </c>
      <c r="E127" s="53">
        <v>560</v>
      </c>
      <c r="F127" s="50"/>
      <c r="G127" s="35">
        <v>8</v>
      </c>
      <c r="H127" s="35">
        <v>70</v>
      </c>
      <c r="I127" s="53">
        <v>560</v>
      </c>
      <c r="J127" s="66"/>
      <c r="K127" s="66"/>
      <c r="L127" s="66"/>
      <c r="M127" s="66"/>
      <c r="N127" s="66"/>
      <c r="O127" s="66"/>
      <c r="P127" s="66"/>
      <c r="Q127" s="66"/>
      <c r="R127" s="25"/>
      <c r="S127" s="36"/>
      <c r="T127" s="53">
        <f t="shared" si="4"/>
        <v>9906.5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>
        <v>1354</v>
      </c>
      <c r="C128" s="25" t="s">
        <v>1354</v>
      </c>
      <c r="D128" s="25" t="s">
        <v>119</v>
      </c>
      <c r="E128" s="53">
        <v>3000</v>
      </c>
      <c r="F128" s="50"/>
      <c r="G128" s="35"/>
      <c r="H128" s="35"/>
      <c r="I128" s="53"/>
      <c r="J128" s="66"/>
      <c r="K128" s="66"/>
      <c r="L128" s="66"/>
      <c r="M128" s="66">
        <v>3000</v>
      </c>
      <c r="N128" s="66"/>
      <c r="O128" s="66"/>
      <c r="P128" s="66"/>
      <c r="Q128" s="67"/>
      <c r="R128" s="25"/>
      <c r="S128" s="36"/>
      <c r="T128" s="53">
        <f t="shared" si="4"/>
        <v>6906.5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>
        <v>1355</v>
      </c>
      <c r="C129" s="25" t="s">
        <v>1355</v>
      </c>
      <c r="D129" s="25"/>
      <c r="E129" s="53">
        <v>560</v>
      </c>
      <c r="F129" s="50"/>
      <c r="G129" s="35"/>
      <c r="H129" s="35"/>
      <c r="I129" s="53"/>
      <c r="J129" s="66"/>
      <c r="K129" s="66"/>
      <c r="L129" s="66"/>
      <c r="M129" s="66"/>
      <c r="N129" s="66"/>
      <c r="O129" s="66"/>
      <c r="P129" s="67">
        <v>560</v>
      </c>
      <c r="Q129" s="66"/>
      <c r="R129" s="25"/>
      <c r="S129" s="36"/>
      <c r="T129" s="53">
        <f t="shared" si="4"/>
        <v>6346.5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25"/>
      <c r="C130" s="25" t="s">
        <v>1092</v>
      </c>
      <c r="D130" s="35"/>
      <c r="E130" s="96"/>
      <c r="F130" s="68">
        <v>200000</v>
      </c>
      <c r="G130" s="35"/>
      <c r="H130" s="35"/>
      <c r="I130" s="53"/>
      <c r="J130" s="66"/>
      <c r="K130" s="66"/>
      <c r="L130" s="66"/>
      <c r="M130" s="66"/>
      <c r="N130" s="66"/>
      <c r="O130" s="66"/>
      <c r="P130" s="67"/>
      <c r="Q130" s="66"/>
      <c r="R130" s="25"/>
      <c r="S130" s="36"/>
      <c r="T130" s="53">
        <f>T129-E130+200000</f>
        <v>206346.5</v>
      </c>
      <c r="U130" s="42"/>
      <c r="V130" s="42"/>
      <c r="W130" s="42"/>
      <c r="X130" s="42"/>
      <c r="Y130" s="42"/>
    </row>
    <row r="131" ht="15.75" customHeight="1" spans="1:25" x14ac:dyDescent="0.25">
      <c r="A131" s="25" t="s">
        <v>1356</v>
      </c>
      <c r="B131" s="35">
        <v>1356</v>
      </c>
      <c r="C131" s="25" t="s">
        <v>170</v>
      </c>
      <c r="D131" s="25" t="s">
        <v>1357</v>
      </c>
      <c r="E131" s="53">
        <v>4800</v>
      </c>
      <c r="F131" s="50"/>
      <c r="G131" s="35">
        <v>48</v>
      </c>
      <c r="H131" s="35">
        <v>100</v>
      </c>
      <c r="I131" s="53">
        <v>4800</v>
      </c>
      <c r="J131" s="66"/>
      <c r="K131" s="66"/>
      <c r="L131" s="66"/>
      <c r="M131" s="66"/>
      <c r="N131" s="66"/>
      <c r="O131" s="66"/>
      <c r="P131" s="66"/>
      <c r="Q131" s="66"/>
      <c r="R131" s="25"/>
      <c r="S131" s="36"/>
      <c r="T131" s="53">
        <f t="shared" ref="T131:T155" si="5">T130-E131</f>
        <v>201546.5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>
        <v>1357</v>
      </c>
      <c r="C132" s="25" t="s">
        <v>170</v>
      </c>
      <c r="D132" s="25" t="s">
        <v>395</v>
      </c>
      <c r="E132" s="53">
        <v>2300</v>
      </c>
      <c r="F132" s="50"/>
      <c r="G132" s="35">
        <v>23</v>
      </c>
      <c r="H132" s="35">
        <v>100</v>
      </c>
      <c r="I132" s="53">
        <v>2300</v>
      </c>
      <c r="J132" s="66"/>
      <c r="K132" s="66"/>
      <c r="L132" s="66"/>
      <c r="M132" s="66"/>
      <c r="N132" s="66"/>
      <c r="O132" s="66"/>
      <c r="P132" s="66"/>
      <c r="Q132" s="66"/>
      <c r="R132" s="25"/>
      <c r="S132" s="36"/>
      <c r="T132" s="53">
        <f t="shared" si="5"/>
        <v>199246.5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>
        <v>1358</v>
      </c>
      <c r="C133" s="25" t="s">
        <v>170</v>
      </c>
      <c r="D133" s="25" t="s">
        <v>1357</v>
      </c>
      <c r="E133" s="53">
        <v>3200</v>
      </c>
      <c r="F133" s="50"/>
      <c r="G133" s="35">
        <v>32</v>
      </c>
      <c r="H133" s="35">
        <v>100</v>
      </c>
      <c r="I133" s="53">
        <v>3200</v>
      </c>
      <c r="J133" s="66"/>
      <c r="K133" s="67"/>
      <c r="L133" s="66"/>
      <c r="M133" s="66"/>
      <c r="N133" s="66"/>
      <c r="O133" s="66"/>
      <c r="P133" s="66"/>
      <c r="Q133" s="66"/>
      <c r="R133" s="25"/>
      <c r="S133" s="36"/>
      <c r="T133" s="53">
        <f t="shared" si="5"/>
        <v>196046.5</v>
      </c>
      <c r="U133" s="42"/>
      <c r="V133" s="42"/>
      <c r="W133" s="42"/>
      <c r="X133" s="42"/>
      <c r="Y133" s="42"/>
    </row>
    <row r="134" ht="15.75" customHeight="1" spans="1:25" x14ac:dyDescent="0.25">
      <c r="A134" s="25"/>
      <c r="B134" s="35">
        <v>1359</v>
      </c>
      <c r="C134" s="25" t="s">
        <v>170</v>
      </c>
      <c r="D134" s="25" t="s">
        <v>1349</v>
      </c>
      <c r="E134" s="53">
        <v>1620</v>
      </c>
      <c r="F134" s="50"/>
      <c r="G134" s="35">
        <v>18</v>
      </c>
      <c r="H134" s="35">
        <v>90</v>
      </c>
      <c r="I134" s="53">
        <v>1620</v>
      </c>
      <c r="J134" s="66"/>
      <c r="K134" s="66"/>
      <c r="L134" s="66"/>
      <c r="M134" s="66"/>
      <c r="N134" s="66"/>
      <c r="O134" s="66"/>
      <c r="P134" s="66"/>
      <c r="Q134" s="66"/>
      <c r="R134" s="25"/>
      <c r="S134" s="36"/>
      <c r="T134" s="53">
        <f t="shared" si="5"/>
        <v>194426.5</v>
      </c>
      <c r="U134" s="42"/>
      <c r="V134" s="42"/>
      <c r="W134" s="42"/>
      <c r="X134" s="42"/>
      <c r="Y134" s="42"/>
    </row>
    <row r="135" ht="15.75" customHeight="1" spans="1:25" x14ac:dyDescent="0.25">
      <c r="A135" s="25"/>
      <c r="B135" s="35">
        <v>1360</v>
      </c>
      <c r="C135" s="25" t="s">
        <v>170</v>
      </c>
      <c r="D135" s="25" t="s">
        <v>1358</v>
      </c>
      <c r="E135" s="53">
        <v>11790</v>
      </c>
      <c r="F135" s="50"/>
      <c r="G135" s="35">
        <v>131</v>
      </c>
      <c r="H135" s="35">
        <v>90</v>
      </c>
      <c r="I135" s="53">
        <v>11790</v>
      </c>
      <c r="J135" s="66"/>
      <c r="K135" s="66"/>
      <c r="L135" s="66"/>
      <c r="M135" s="66"/>
      <c r="N135" s="66"/>
      <c r="O135" s="66"/>
      <c r="P135" s="66"/>
      <c r="Q135" s="66"/>
      <c r="R135" s="25"/>
      <c r="S135" s="36"/>
      <c r="T135" s="53">
        <f t="shared" si="5"/>
        <v>182636.5</v>
      </c>
      <c r="U135" s="42"/>
      <c r="V135" s="42"/>
      <c r="W135" s="42"/>
      <c r="X135" s="42"/>
      <c r="Y135" s="42"/>
    </row>
    <row r="136" ht="15.75" customHeight="1" spans="1:25" x14ac:dyDescent="0.25">
      <c r="A136" s="25"/>
      <c r="B136" s="35">
        <v>1361</v>
      </c>
      <c r="C136" s="25" t="s">
        <v>170</v>
      </c>
      <c r="D136" s="25" t="s">
        <v>728</v>
      </c>
      <c r="E136" s="53">
        <v>5490</v>
      </c>
      <c r="F136" s="50"/>
      <c r="G136" s="35">
        <v>61</v>
      </c>
      <c r="H136" s="35">
        <v>90</v>
      </c>
      <c r="I136" s="53">
        <v>5490</v>
      </c>
      <c r="J136" s="66"/>
      <c r="K136" s="67"/>
      <c r="L136" s="66"/>
      <c r="M136" s="66"/>
      <c r="N136" s="66"/>
      <c r="O136" s="66"/>
      <c r="P136" s="66"/>
      <c r="Q136" s="66"/>
      <c r="R136" s="25"/>
      <c r="S136" s="36"/>
      <c r="T136" s="53">
        <f t="shared" si="5"/>
        <v>177146.5</v>
      </c>
      <c r="U136" s="42"/>
      <c r="V136" s="42"/>
      <c r="W136" s="42"/>
      <c r="X136" s="42"/>
      <c r="Y136" s="42"/>
    </row>
    <row r="137" ht="15.75" customHeight="1" spans="1:25" x14ac:dyDescent="0.25">
      <c r="A137" s="25"/>
      <c r="B137" s="35">
        <v>1362</v>
      </c>
      <c r="C137" s="25" t="s">
        <v>170</v>
      </c>
      <c r="D137" s="25" t="s">
        <v>1359</v>
      </c>
      <c r="E137" s="53">
        <v>5580</v>
      </c>
      <c r="F137" s="50"/>
      <c r="G137" s="35">
        <v>62</v>
      </c>
      <c r="H137" s="35">
        <v>90</v>
      </c>
      <c r="I137" s="53">
        <v>5580</v>
      </c>
      <c r="J137" s="66"/>
      <c r="K137" s="67"/>
      <c r="L137" s="66"/>
      <c r="M137" s="66"/>
      <c r="N137" s="66"/>
      <c r="O137" s="66"/>
      <c r="P137" s="66"/>
      <c r="Q137" s="66"/>
      <c r="R137" s="25"/>
      <c r="S137" s="36"/>
      <c r="T137" s="53">
        <f t="shared" si="5"/>
        <v>171566.5</v>
      </c>
      <c r="U137" s="42"/>
      <c r="V137" s="42"/>
      <c r="W137" s="42"/>
      <c r="X137" s="42"/>
      <c r="Y137" s="42"/>
    </row>
    <row r="138" ht="15.75" customHeight="1" spans="1:25" x14ac:dyDescent="0.25">
      <c r="A138" s="25"/>
      <c r="B138" s="35">
        <v>1363</v>
      </c>
      <c r="C138" s="25" t="s">
        <v>170</v>
      </c>
      <c r="D138" s="25" t="s">
        <v>1360</v>
      </c>
      <c r="E138" s="53">
        <v>1710</v>
      </c>
      <c r="F138" s="50"/>
      <c r="G138" s="35">
        <v>19</v>
      </c>
      <c r="H138" s="35">
        <v>90</v>
      </c>
      <c r="I138" s="53">
        <v>1710</v>
      </c>
      <c r="J138" s="66"/>
      <c r="K138" s="67"/>
      <c r="L138" s="66"/>
      <c r="M138" s="66"/>
      <c r="N138" s="66"/>
      <c r="O138" s="66"/>
      <c r="P138" s="66"/>
      <c r="Q138" s="66"/>
      <c r="R138" s="25"/>
      <c r="S138" s="36"/>
      <c r="T138" s="53">
        <f t="shared" si="5"/>
        <v>169856.5</v>
      </c>
      <c r="U138" s="42"/>
      <c r="V138" s="42"/>
      <c r="W138" s="42"/>
      <c r="X138" s="42"/>
      <c r="Y138" s="42"/>
    </row>
    <row r="139" ht="15.75" customHeight="1" spans="1:25" x14ac:dyDescent="0.25">
      <c r="A139" s="25"/>
      <c r="B139" s="35">
        <v>1364</v>
      </c>
      <c r="C139" s="25" t="s">
        <v>170</v>
      </c>
      <c r="D139" s="25" t="s">
        <v>1351</v>
      </c>
      <c r="E139" s="53">
        <v>3690</v>
      </c>
      <c r="F139" s="50"/>
      <c r="G139" s="35">
        <v>41</v>
      </c>
      <c r="H139" s="35">
        <v>90</v>
      </c>
      <c r="I139" s="53">
        <v>3690</v>
      </c>
      <c r="J139" s="66"/>
      <c r="K139" s="67"/>
      <c r="L139" s="66"/>
      <c r="M139" s="66"/>
      <c r="N139" s="66"/>
      <c r="O139" s="66"/>
      <c r="P139" s="66"/>
      <c r="Q139" s="66"/>
      <c r="R139" s="25"/>
      <c r="S139" s="36"/>
      <c r="T139" s="53">
        <f t="shared" si="5"/>
        <v>166166.5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>
        <v>1365</v>
      </c>
      <c r="C140" s="25" t="s">
        <v>170</v>
      </c>
      <c r="D140" s="25" t="s">
        <v>1361</v>
      </c>
      <c r="E140" s="54">
        <v>1120</v>
      </c>
      <c r="F140" s="50"/>
      <c r="G140" s="35">
        <v>14</v>
      </c>
      <c r="H140" s="35">
        <v>80</v>
      </c>
      <c r="I140" s="53">
        <v>1120</v>
      </c>
      <c r="J140" s="66"/>
      <c r="K140" s="67"/>
      <c r="L140" s="66"/>
      <c r="M140" s="66"/>
      <c r="N140" s="66"/>
      <c r="O140" s="66"/>
      <c r="P140" s="66"/>
      <c r="Q140" s="66"/>
      <c r="R140" s="25"/>
      <c r="S140" s="36"/>
      <c r="T140" s="53">
        <f t="shared" si="5"/>
        <v>165046.5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>
        <v>1366</v>
      </c>
      <c r="C141" s="25" t="s">
        <v>170</v>
      </c>
      <c r="D141" s="25" t="s">
        <v>1200</v>
      </c>
      <c r="E141" s="54">
        <v>6240</v>
      </c>
      <c r="F141" s="50"/>
      <c r="G141" s="35">
        <v>52</v>
      </c>
      <c r="H141" s="35">
        <v>120</v>
      </c>
      <c r="I141" s="53">
        <v>6240</v>
      </c>
      <c r="J141" s="66"/>
      <c r="K141" s="67"/>
      <c r="L141" s="66"/>
      <c r="M141" s="66"/>
      <c r="N141" s="66"/>
      <c r="O141" s="66"/>
      <c r="P141" s="66"/>
      <c r="Q141" s="66"/>
      <c r="R141" s="25"/>
      <c r="S141" s="36"/>
      <c r="T141" s="53">
        <f t="shared" si="5"/>
        <v>158806.5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>
        <v>1367</v>
      </c>
      <c r="C142" s="25" t="s">
        <v>170</v>
      </c>
      <c r="D142" s="25" t="s">
        <v>54</v>
      </c>
      <c r="E142" s="53">
        <v>12120</v>
      </c>
      <c r="F142" s="50"/>
      <c r="G142" s="35">
        <v>101</v>
      </c>
      <c r="H142" s="35">
        <v>120</v>
      </c>
      <c r="I142" s="53">
        <v>12120</v>
      </c>
      <c r="J142" s="66"/>
      <c r="K142" s="67"/>
      <c r="L142" s="66"/>
      <c r="M142" s="66"/>
      <c r="N142" s="66"/>
      <c r="O142" s="66"/>
      <c r="P142" s="66"/>
      <c r="Q142" s="66"/>
      <c r="R142" s="25"/>
      <c r="S142" s="36"/>
      <c r="T142" s="53">
        <f t="shared" si="5"/>
        <v>146686.5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>
        <v>1368</v>
      </c>
      <c r="C143" s="25" t="s">
        <v>170</v>
      </c>
      <c r="D143" s="25" t="s">
        <v>200</v>
      </c>
      <c r="E143" s="53">
        <v>69840</v>
      </c>
      <c r="F143" s="50"/>
      <c r="G143" s="35">
        <v>582</v>
      </c>
      <c r="H143" s="35">
        <v>120</v>
      </c>
      <c r="I143" s="53">
        <v>69840</v>
      </c>
      <c r="J143" s="66"/>
      <c r="K143" s="66"/>
      <c r="L143" s="66"/>
      <c r="M143" s="66"/>
      <c r="N143" s="66"/>
      <c r="O143" s="66"/>
      <c r="P143" s="66"/>
      <c r="Q143" s="66"/>
      <c r="R143" s="25"/>
      <c r="S143" s="36"/>
      <c r="T143" s="53">
        <f t="shared" si="5"/>
        <v>76846.5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>
        <v>1369</v>
      </c>
      <c r="C144" s="25" t="s">
        <v>1362</v>
      </c>
      <c r="D144" s="23"/>
      <c r="E144" s="54">
        <v>150</v>
      </c>
      <c r="F144" s="50"/>
      <c r="G144" s="25"/>
      <c r="H144" s="25"/>
      <c r="I144" s="53"/>
      <c r="J144" s="66"/>
      <c r="K144" s="66"/>
      <c r="L144" s="66"/>
      <c r="M144" s="66"/>
      <c r="N144" s="66"/>
      <c r="O144" s="66"/>
      <c r="P144" s="66">
        <v>150</v>
      </c>
      <c r="Q144" s="66"/>
      <c r="R144" s="25"/>
      <c r="S144" s="36"/>
      <c r="T144" s="53">
        <f t="shared" si="5"/>
        <v>76696.5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>
        <v>1370</v>
      </c>
      <c r="C145" s="25" t="s">
        <v>1355</v>
      </c>
      <c r="D145" s="23"/>
      <c r="E145" s="54">
        <v>150</v>
      </c>
      <c r="F145" s="50"/>
      <c r="G145" s="25"/>
      <c r="H145" s="25"/>
      <c r="I145" s="53"/>
      <c r="J145" s="66"/>
      <c r="K145" s="66"/>
      <c r="L145" s="66"/>
      <c r="M145" s="66"/>
      <c r="N145" s="66"/>
      <c r="O145" s="66"/>
      <c r="P145" s="66">
        <v>150</v>
      </c>
      <c r="Q145" s="66"/>
      <c r="R145" s="25"/>
      <c r="S145" s="36"/>
      <c r="T145" s="53">
        <f t="shared" si="5"/>
        <v>76546.5</v>
      </c>
      <c r="U145" s="42"/>
      <c r="V145" s="42"/>
      <c r="W145" s="42"/>
      <c r="X145" s="42"/>
      <c r="Y145" s="42"/>
    </row>
    <row r="146" ht="15.75" customHeight="1" spans="1:25" x14ac:dyDescent="0.25">
      <c r="A146" s="25" t="s">
        <v>1363</v>
      </c>
      <c r="B146" s="35">
        <v>1371</v>
      </c>
      <c r="C146" s="25" t="s">
        <v>170</v>
      </c>
      <c r="D146" s="25" t="s">
        <v>54</v>
      </c>
      <c r="E146" s="53">
        <v>6000</v>
      </c>
      <c r="F146" s="50"/>
      <c r="G146" s="35">
        <v>60</v>
      </c>
      <c r="H146" s="35">
        <v>100</v>
      </c>
      <c r="I146" s="53">
        <v>6000</v>
      </c>
      <c r="J146" s="66"/>
      <c r="K146" s="66"/>
      <c r="L146" s="66"/>
      <c r="M146" s="66"/>
      <c r="N146" s="66"/>
      <c r="O146" s="66"/>
      <c r="P146" s="66"/>
      <c r="Q146" s="67"/>
      <c r="R146" s="25"/>
      <c r="S146" s="36"/>
      <c r="T146" s="53">
        <f t="shared" si="5"/>
        <v>70546.5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>
        <v>1372</v>
      </c>
      <c r="C147" s="25" t="s">
        <v>170</v>
      </c>
      <c r="D147" s="25" t="s">
        <v>1308</v>
      </c>
      <c r="E147" s="53">
        <v>400</v>
      </c>
      <c r="F147" s="50"/>
      <c r="G147" s="35">
        <v>4</v>
      </c>
      <c r="H147" s="35">
        <v>100</v>
      </c>
      <c r="I147" s="53">
        <v>400</v>
      </c>
      <c r="J147" s="66"/>
      <c r="K147" s="66"/>
      <c r="L147" s="66"/>
      <c r="M147" s="66"/>
      <c r="N147" s="66"/>
      <c r="O147" s="66"/>
      <c r="P147" s="67"/>
      <c r="Q147" s="66"/>
      <c r="R147" s="25"/>
      <c r="S147" s="36"/>
      <c r="T147" s="53">
        <f t="shared" si="5"/>
        <v>70146.5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>
        <v>1373</v>
      </c>
      <c r="C148" s="25" t="s">
        <v>170</v>
      </c>
      <c r="D148" s="25" t="s">
        <v>54</v>
      </c>
      <c r="E148" s="53">
        <v>3700</v>
      </c>
      <c r="F148" s="50"/>
      <c r="G148" s="35">
        <v>37</v>
      </c>
      <c r="H148" s="35">
        <v>100</v>
      </c>
      <c r="I148" s="53">
        <v>3700</v>
      </c>
      <c r="J148" s="66"/>
      <c r="K148" s="66"/>
      <c r="L148" s="66"/>
      <c r="M148" s="66"/>
      <c r="N148" s="66"/>
      <c r="O148" s="66"/>
      <c r="P148" s="66"/>
      <c r="Q148" s="66"/>
      <c r="R148" s="25"/>
      <c r="S148" s="36"/>
      <c r="T148" s="53">
        <f t="shared" si="5"/>
        <v>66446.5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>
        <v>1374</v>
      </c>
      <c r="C149" s="25" t="s">
        <v>170</v>
      </c>
      <c r="D149" s="25" t="s">
        <v>1364</v>
      </c>
      <c r="E149" s="53">
        <v>2700</v>
      </c>
      <c r="F149" s="50"/>
      <c r="G149" s="35">
        <v>30</v>
      </c>
      <c r="H149" s="35">
        <v>90</v>
      </c>
      <c r="I149" s="53">
        <v>2700</v>
      </c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si="5"/>
        <v>63746.5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>
        <v>1375</v>
      </c>
      <c r="C150" s="25" t="s">
        <v>170</v>
      </c>
      <c r="D150" s="25" t="s">
        <v>1365</v>
      </c>
      <c r="E150" s="53">
        <v>2970</v>
      </c>
      <c r="F150" s="50"/>
      <c r="G150" s="35">
        <v>33</v>
      </c>
      <c r="H150" s="35">
        <v>90</v>
      </c>
      <c r="I150" s="53">
        <v>2970</v>
      </c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5"/>
        <v>60776.5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>
        <v>1376</v>
      </c>
      <c r="C151" s="25" t="s">
        <v>1366</v>
      </c>
      <c r="D151" s="23" t="s">
        <v>1367</v>
      </c>
      <c r="E151" s="54">
        <v>30000</v>
      </c>
      <c r="F151" s="50"/>
      <c r="G151" s="25"/>
      <c r="H151" s="25"/>
      <c r="I151" s="53">
        <v>0</v>
      </c>
      <c r="J151" s="66"/>
      <c r="K151" s="66">
        <v>30000</v>
      </c>
      <c r="L151" s="66"/>
      <c r="M151" s="66"/>
      <c r="N151" s="66"/>
      <c r="O151" s="66"/>
      <c r="P151" s="66"/>
      <c r="Q151" s="66"/>
      <c r="R151" s="25"/>
      <c r="S151" s="36"/>
      <c r="T151" s="53">
        <f t="shared" si="5"/>
        <v>30776.5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>
        <v>1377</v>
      </c>
      <c r="C152" s="25" t="s">
        <v>1368</v>
      </c>
      <c r="D152" s="23" t="s">
        <v>28</v>
      </c>
      <c r="E152" s="54">
        <v>840</v>
      </c>
      <c r="F152" s="50"/>
      <c r="G152" s="25"/>
      <c r="H152" s="25"/>
      <c r="I152" s="53"/>
      <c r="J152" s="66"/>
      <c r="K152" s="66"/>
      <c r="L152" s="66">
        <v>840</v>
      </c>
      <c r="M152" s="66"/>
      <c r="N152" s="66"/>
      <c r="O152" s="66"/>
      <c r="P152" s="66"/>
      <c r="Q152" s="66"/>
      <c r="R152" s="25"/>
      <c r="S152" s="36"/>
      <c r="T152" s="53">
        <f t="shared" si="5"/>
        <v>29936.5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>
        <v>1378</v>
      </c>
      <c r="C153" s="25" t="s">
        <v>1354</v>
      </c>
      <c r="D153" s="23" t="s">
        <v>119</v>
      </c>
      <c r="E153" s="54">
        <v>1400</v>
      </c>
      <c r="F153" s="50"/>
      <c r="G153" s="25"/>
      <c r="H153" s="25"/>
      <c r="I153" s="53"/>
      <c r="J153" s="66"/>
      <c r="K153" s="66"/>
      <c r="L153" s="66"/>
      <c r="M153" s="66">
        <v>1400</v>
      </c>
      <c r="N153" s="66"/>
      <c r="O153" s="66"/>
      <c r="P153" s="67"/>
      <c r="Q153" s="66"/>
      <c r="R153" s="25"/>
      <c r="S153" s="36"/>
      <c r="T153" s="53">
        <f t="shared" si="5"/>
        <v>28536.5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>
        <v>1379</v>
      </c>
      <c r="C154" s="25" t="s">
        <v>1355</v>
      </c>
      <c r="D154" s="23" t="s">
        <v>1342</v>
      </c>
      <c r="E154" s="54">
        <v>320</v>
      </c>
      <c r="F154" s="50"/>
      <c r="G154" s="25"/>
      <c r="H154" s="25"/>
      <c r="I154" s="53"/>
      <c r="J154" s="66"/>
      <c r="K154" s="66"/>
      <c r="L154" s="66"/>
      <c r="M154" s="67"/>
      <c r="N154" s="66"/>
      <c r="O154" s="66"/>
      <c r="P154" s="66">
        <v>320</v>
      </c>
      <c r="Q154" s="66"/>
      <c r="R154" s="25"/>
      <c r="S154" s="36"/>
      <c r="T154" s="53">
        <f t="shared" si="5"/>
        <v>28216.5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>
        <v>1380</v>
      </c>
      <c r="C155" s="25" t="s">
        <v>1369</v>
      </c>
      <c r="D155" s="23" t="s">
        <v>1370</v>
      </c>
      <c r="E155" s="54">
        <v>1600</v>
      </c>
      <c r="F155" s="50"/>
      <c r="G155" s="25"/>
      <c r="H155" s="25"/>
      <c r="I155" s="53"/>
      <c r="J155" s="66"/>
      <c r="K155" s="66"/>
      <c r="L155" s="66"/>
      <c r="M155" s="66"/>
      <c r="N155" s="66"/>
      <c r="O155" s="66"/>
      <c r="P155" s="66">
        <v>1600</v>
      </c>
      <c r="Q155" s="66"/>
      <c r="R155" s="25"/>
      <c r="S155" s="36"/>
      <c r="T155" s="53">
        <f t="shared" si="5"/>
        <v>26616.5</v>
      </c>
      <c r="U155" s="42"/>
      <c r="V155" s="42"/>
      <c r="W155" s="42"/>
      <c r="X155" s="42"/>
      <c r="Y155" s="42"/>
    </row>
    <row r="156" ht="15.75" customHeight="1" spans="1:25" x14ac:dyDescent="0.25">
      <c r="A156" s="25" t="s">
        <v>1371</v>
      </c>
      <c r="B156" s="35"/>
      <c r="C156" s="25" t="s">
        <v>1372</v>
      </c>
      <c r="D156" s="23"/>
      <c r="E156" s="54"/>
      <c r="F156" s="68">
        <v>79000</v>
      </c>
      <c r="G156" s="25"/>
      <c r="H156" s="25"/>
      <c r="I156" s="53"/>
      <c r="J156" s="66"/>
      <c r="K156" s="66"/>
      <c r="L156" s="66"/>
      <c r="M156" s="66"/>
      <c r="N156" s="66"/>
      <c r="O156" s="66"/>
      <c r="P156" s="66"/>
      <c r="Q156" s="66"/>
      <c r="R156" s="25"/>
      <c r="S156" s="36"/>
      <c r="T156" s="53">
        <f>T155-E156+79000</f>
        <v>105616.5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>
        <v>1380</v>
      </c>
      <c r="C157" s="25" t="s">
        <v>170</v>
      </c>
      <c r="D157" s="23" t="s">
        <v>1200</v>
      </c>
      <c r="E157" s="54">
        <v>2000</v>
      </c>
      <c r="F157" s="50"/>
      <c r="G157" s="35">
        <v>20</v>
      </c>
      <c r="H157" s="35">
        <v>100</v>
      </c>
      <c r="I157" s="53">
        <v>2000</v>
      </c>
      <c r="J157" s="66"/>
      <c r="K157" s="66"/>
      <c r="L157" s="66"/>
      <c r="M157" s="66"/>
      <c r="N157" s="66"/>
      <c r="O157" s="66"/>
      <c r="P157" s="66"/>
      <c r="Q157" s="66"/>
      <c r="R157" s="25"/>
      <c r="S157" s="36"/>
      <c r="T157" s="53">
        <f t="shared" ref="T157:T178" si="6">T156-E157</f>
        <v>103616.5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 t="s">
        <v>1373</v>
      </c>
      <c r="D158" s="23" t="s">
        <v>1374</v>
      </c>
      <c r="E158" s="80">
        <v>25000</v>
      </c>
      <c r="F158" s="50"/>
      <c r="G158" s="35"/>
      <c r="H158" s="35"/>
      <c r="I158" s="53"/>
      <c r="J158" s="66"/>
      <c r="L158" s="66"/>
      <c r="M158" s="66"/>
      <c r="N158" s="66"/>
      <c r="O158" s="66"/>
      <c r="P158" s="66"/>
      <c r="Q158" s="66"/>
      <c r="R158" s="25"/>
      <c r="S158" s="36"/>
      <c r="T158" s="53">
        <f t="shared" si="6"/>
        <v>78616.5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>
        <v>1381</v>
      </c>
      <c r="C159" s="25" t="s">
        <v>1375</v>
      </c>
      <c r="D159" s="25" t="s">
        <v>1376</v>
      </c>
      <c r="E159" s="53">
        <v>19000</v>
      </c>
      <c r="F159" s="50"/>
      <c r="G159" s="35"/>
      <c r="H159" s="25"/>
      <c r="I159" s="53"/>
      <c r="J159" s="66"/>
      <c r="K159" s="66"/>
      <c r="L159" s="66"/>
      <c r="M159" s="66">
        <v>19000</v>
      </c>
      <c r="N159" s="66"/>
      <c r="O159" s="66"/>
      <c r="P159" s="66"/>
      <c r="Q159" s="66"/>
      <c r="R159" s="25"/>
      <c r="S159" s="36"/>
      <c r="T159" s="53">
        <f t="shared" si="6"/>
        <v>59616.5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>
        <v>1382</v>
      </c>
      <c r="C160" s="25" t="s">
        <v>1377</v>
      </c>
      <c r="D160" s="25" t="s">
        <v>385</v>
      </c>
      <c r="E160" s="53">
        <v>500</v>
      </c>
      <c r="F160" s="50"/>
      <c r="G160" s="35"/>
      <c r="H160" s="35"/>
      <c r="I160" s="53"/>
      <c r="J160" s="66"/>
      <c r="K160" s="66"/>
      <c r="L160" s="66"/>
      <c r="M160" s="66"/>
      <c r="N160" s="66"/>
      <c r="O160" s="66"/>
      <c r="P160" s="66">
        <v>500</v>
      </c>
      <c r="Q160" s="66"/>
      <c r="R160" s="25"/>
      <c r="S160" s="36"/>
      <c r="T160" s="53">
        <f t="shared" si="6"/>
        <v>59116.5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>
        <v>1383</v>
      </c>
      <c r="C161" s="25" t="s">
        <v>1378</v>
      </c>
      <c r="D161" s="25" t="s">
        <v>1379</v>
      </c>
      <c r="E161" s="53">
        <v>1400</v>
      </c>
      <c r="F161" s="50"/>
      <c r="G161" s="35"/>
      <c r="H161" s="35"/>
      <c r="I161" s="53"/>
      <c r="J161" s="66"/>
      <c r="K161" s="66"/>
      <c r="L161" s="66"/>
      <c r="M161" s="66"/>
      <c r="N161" s="66"/>
      <c r="O161" s="66"/>
      <c r="P161" s="66">
        <v>1400</v>
      </c>
      <c r="Q161" s="66"/>
      <c r="R161" s="25"/>
      <c r="S161" s="36"/>
      <c r="T161" s="53">
        <f t="shared" si="6"/>
        <v>57716.5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>
        <v>1384</v>
      </c>
      <c r="C162" s="25" t="s">
        <v>1380</v>
      </c>
      <c r="D162" s="25" t="s">
        <v>1381</v>
      </c>
      <c r="E162" s="53">
        <v>600</v>
      </c>
      <c r="F162" s="50"/>
      <c r="G162" s="35"/>
      <c r="H162" s="35"/>
      <c r="I162" s="53"/>
      <c r="J162" s="66"/>
      <c r="K162" s="66"/>
      <c r="L162" s="66"/>
      <c r="M162" s="66"/>
      <c r="N162" s="66"/>
      <c r="O162" s="66"/>
      <c r="P162" s="66">
        <v>600</v>
      </c>
      <c r="Q162" s="66"/>
      <c r="R162" s="25"/>
      <c r="S162" s="36"/>
      <c r="T162" s="53">
        <f t="shared" si="6"/>
        <v>57116.5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>
        <v>1385</v>
      </c>
      <c r="C163" s="25" t="s">
        <v>1382</v>
      </c>
      <c r="D163" s="25" t="s">
        <v>1383</v>
      </c>
      <c r="E163" s="53">
        <v>2400</v>
      </c>
      <c r="F163" s="50"/>
      <c r="G163" s="35"/>
      <c r="H163" s="35"/>
      <c r="I163" s="53"/>
      <c r="J163" s="66"/>
      <c r="K163" s="66"/>
      <c r="L163" s="66"/>
      <c r="M163" s="66"/>
      <c r="N163" s="66"/>
      <c r="O163" s="66"/>
      <c r="P163" s="66">
        <v>2400</v>
      </c>
      <c r="Q163" s="66"/>
      <c r="R163" s="25"/>
      <c r="S163" s="36"/>
      <c r="T163" s="53">
        <f t="shared" si="6"/>
        <v>54716.5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>
        <v>1386</v>
      </c>
      <c r="C164" s="25" t="s">
        <v>1384</v>
      </c>
      <c r="D164" s="25"/>
      <c r="E164" s="53">
        <v>300</v>
      </c>
      <c r="F164" s="50"/>
      <c r="G164" s="25"/>
      <c r="H164" s="25"/>
      <c r="I164" s="65"/>
      <c r="J164" s="66"/>
      <c r="K164" s="66"/>
      <c r="L164" s="66"/>
      <c r="M164" s="66"/>
      <c r="N164" s="66"/>
      <c r="O164" s="66"/>
      <c r="P164" s="66">
        <v>300</v>
      </c>
      <c r="Q164" s="66"/>
      <c r="R164" s="25"/>
      <c r="S164" s="36"/>
      <c r="T164" s="53">
        <f t="shared" si="6"/>
        <v>54416.5</v>
      </c>
      <c r="U164" s="42"/>
      <c r="V164" s="42"/>
      <c r="W164" s="42"/>
      <c r="X164" s="42"/>
      <c r="Y164" s="42"/>
    </row>
    <row r="165" ht="15.75" customHeight="1" spans="1:25" x14ac:dyDescent="0.25">
      <c r="A165" s="25"/>
      <c r="B165" s="35">
        <v>1387</v>
      </c>
      <c r="C165" s="25" t="s">
        <v>170</v>
      </c>
      <c r="D165" s="25" t="s">
        <v>1200</v>
      </c>
      <c r="E165" s="53">
        <v>2000</v>
      </c>
      <c r="F165" s="50"/>
      <c r="G165" s="35">
        <v>20</v>
      </c>
      <c r="H165" s="35">
        <v>100</v>
      </c>
      <c r="I165" s="53">
        <v>2000</v>
      </c>
      <c r="J165" s="66"/>
      <c r="K165" s="66"/>
      <c r="L165" s="66"/>
      <c r="M165" s="66"/>
      <c r="N165" s="66"/>
      <c r="O165" s="66"/>
      <c r="P165" s="66"/>
      <c r="Q165" s="66"/>
      <c r="R165" s="25"/>
      <c r="S165" s="36"/>
      <c r="T165" s="53">
        <f t="shared" si="6"/>
        <v>52416.5</v>
      </c>
      <c r="U165" s="42"/>
      <c r="V165" s="42"/>
      <c r="W165" s="42"/>
      <c r="X165" s="42"/>
      <c r="Y165" s="42"/>
    </row>
    <row r="166" ht="15.75" customHeight="1" spans="1:25" x14ac:dyDescent="0.25">
      <c r="A166" s="25" t="s">
        <v>1385</v>
      </c>
      <c r="B166" s="35">
        <v>1388</v>
      </c>
      <c r="C166" s="25" t="s">
        <v>1386</v>
      </c>
      <c r="D166" s="25" t="s">
        <v>1387</v>
      </c>
      <c r="E166" s="53">
        <v>1000</v>
      </c>
      <c r="F166" s="50"/>
      <c r="G166" s="25"/>
      <c r="H166" s="25"/>
      <c r="I166" s="65"/>
      <c r="J166" s="66"/>
      <c r="K166" s="66"/>
      <c r="L166" s="66"/>
      <c r="M166" s="66"/>
      <c r="N166" s="66">
        <v>1000</v>
      </c>
      <c r="O166" s="66"/>
      <c r="P166" s="66"/>
      <c r="Q166" s="66"/>
      <c r="R166" s="25"/>
      <c r="S166" s="36"/>
      <c r="T166" s="53">
        <f t="shared" si="6"/>
        <v>51416.5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>
        <v>1389</v>
      </c>
      <c r="C167" s="25" t="s">
        <v>1388</v>
      </c>
      <c r="D167" s="25" t="s">
        <v>1387</v>
      </c>
      <c r="E167" s="53">
        <v>120</v>
      </c>
      <c r="F167" s="50"/>
      <c r="G167" s="25"/>
      <c r="H167" s="25"/>
      <c r="I167" s="65"/>
      <c r="J167" s="66"/>
      <c r="K167" s="66"/>
      <c r="L167" s="66"/>
      <c r="M167" s="66"/>
      <c r="N167" s="66">
        <v>120</v>
      </c>
      <c r="O167" s="66"/>
      <c r="P167" s="66"/>
      <c r="Q167" s="66"/>
      <c r="R167" s="25"/>
      <c r="S167" s="36"/>
      <c r="T167" s="53">
        <f t="shared" si="6"/>
        <v>51296.5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>
        <v>1390</v>
      </c>
      <c r="C168" s="23" t="s">
        <v>1389</v>
      </c>
      <c r="D168" s="25" t="s">
        <v>1390</v>
      </c>
      <c r="E168" s="53">
        <v>200</v>
      </c>
      <c r="F168" s="50"/>
      <c r="G168" s="25"/>
      <c r="H168" s="25"/>
      <c r="I168" s="65"/>
      <c r="J168" s="66"/>
      <c r="K168" s="66"/>
      <c r="L168" s="66"/>
      <c r="M168" s="66"/>
      <c r="N168" s="66">
        <v>200</v>
      </c>
      <c r="O168" s="66"/>
      <c r="P168" s="66"/>
      <c r="Q168" s="66"/>
      <c r="R168" s="25"/>
      <c r="S168" s="36"/>
      <c r="T168" s="53">
        <f t="shared" si="6"/>
        <v>51096.5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>
        <v>1391</v>
      </c>
      <c r="C169" s="25" t="s">
        <v>1391</v>
      </c>
      <c r="D169" s="25" t="s">
        <v>1392</v>
      </c>
      <c r="E169" s="53">
        <v>1000</v>
      </c>
      <c r="F169" s="50"/>
      <c r="G169" s="25"/>
      <c r="H169" s="25"/>
      <c r="I169" s="65"/>
      <c r="J169" s="66"/>
      <c r="K169" s="66"/>
      <c r="L169" s="66"/>
      <c r="M169" s="66"/>
      <c r="N169" s="66">
        <v>1000</v>
      </c>
      <c r="O169" s="66"/>
      <c r="P169" s="66"/>
      <c r="Q169" s="66"/>
      <c r="R169" s="25"/>
      <c r="S169" s="36"/>
      <c r="T169" s="53">
        <f t="shared" si="6"/>
        <v>50096.5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>
        <v>1392</v>
      </c>
      <c r="C170" s="25" t="s">
        <v>661</v>
      </c>
      <c r="D170" s="25" t="s">
        <v>119</v>
      </c>
      <c r="E170" s="53">
        <v>2500</v>
      </c>
      <c r="F170" s="50"/>
      <c r="G170" s="25"/>
      <c r="H170" s="25"/>
      <c r="I170" s="65"/>
      <c r="J170" s="66"/>
      <c r="K170" s="66"/>
      <c r="L170" s="66">
        <v>2500</v>
      </c>
      <c r="M170" s="66"/>
      <c r="N170" s="66"/>
      <c r="O170" s="66"/>
      <c r="P170" s="66"/>
      <c r="Q170" s="66"/>
      <c r="R170" s="25"/>
      <c r="S170" s="36"/>
      <c r="T170" s="53">
        <f t="shared" si="6"/>
        <v>47596.5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>
        <v>1393</v>
      </c>
      <c r="C171" s="25" t="s">
        <v>600</v>
      </c>
      <c r="D171" s="25" t="s">
        <v>295</v>
      </c>
      <c r="E171" s="53">
        <v>4500</v>
      </c>
      <c r="F171" s="50"/>
      <c r="G171" s="25"/>
      <c r="H171" s="25"/>
      <c r="I171" s="65"/>
      <c r="J171" s="66"/>
      <c r="K171" s="66"/>
      <c r="L171" s="66"/>
      <c r="M171" s="67"/>
      <c r="N171" s="66"/>
      <c r="O171" s="66"/>
      <c r="P171" s="66"/>
      <c r="Q171" s="66"/>
      <c r="R171" s="25">
        <v>4500</v>
      </c>
      <c r="S171" s="36"/>
      <c r="T171" s="53">
        <f t="shared" si="6"/>
        <v>43096.5</v>
      </c>
      <c r="U171" s="42"/>
      <c r="V171" s="42"/>
      <c r="W171" s="42"/>
      <c r="X171" s="42"/>
      <c r="Y171" s="42"/>
    </row>
    <row r="172" ht="15.75" customHeight="1" spans="1:25" x14ac:dyDescent="0.25">
      <c r="A172" s="25"/>
      <c r="B172" s="35">
        <v>1394</v>
      </c>
      <c r="C172" s="25" t="s">
        <v>1393</v>
      </c>
      <c r="D172" s="23" t="s">
        <v>1370</v>
      </c>
      <c r="E172" s="53">
        <v>800</v>
      </c>
      <c r="F172" s="50"/>
      <c r="G172" s="25"/>
      <c r="H172" s="65"/>
      <c r="I172" s="65"/>
      <c r="J172" s="66"/>
      <c r="K172" s="66"/>
      <c r="L172" s="66"/>
      <c r="M172" s="66"/>
      <c r="N172" s="66"/>
      <c r="O172" s="66"/>
      <c r="P172" s="67">
        <v>800</v>
      </c>
      <c r="Q172" s="66"/>
      <c r="R172" s="25"/>
      <c r="S172" s="36"/>
      <c r="T172" s="53">
        <f t="shared" si="6"/>
        <v>42296.5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>
        <v>1395</v>
      </c>
      <c r="C173" s="25" t="s">
        <v>634</v>
      </c>
      <c r="D173" s="25" t="s">
        <v>52</v>
      </c>
      <c r="E173" s="53">
        <v>500</v>
      </c>
      <c r="F173" s="50"/>
      <c r="G173" s="35">
        <v>5</v>
      </c>
      <c r="H173" s="35">
        <v>100</v>
      </c>
      <c r="I173" s="53">
        <v>500</v>
      </c>
      <c r="J173" s="66"/>
      <c r="K173" s="66"/>
      <c r="L173" s="66"/>
      <c r="M173" s="66"/>
      <c r="N173" s="66"/>
      <c r="O173" s="66"/>
      <c r="P173" s="66"/>
      <c r="Q173" s="66"/>
      <c r="R173" s="25"/>
      <c r="S173" s="36"/>
      <c r="T173" s="53">
        <f t="shared" si="6"/>
        <v>41796.5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>
        <v>1396</v>
      </c>
      <c r="C174" s="25" t="s">
        <v>170</v>
      </c>
      <c r="D174" s="25" t="s">
        <v>69</v>
      </c>
      <c r="E174" s="53">
        <v>1600</v>
      </c>
      <c r="F174" s="50"/>
      <c r="G174" s="35">
        <v>16</v>
      </c>
      <c r="H174" s="35">
        <v>100</v>
      </c>
      <c r="I174" s="53">
        <v>1600</v>
      </c>
      <c r="J174" s="66"/>
      <c r="K174" s="66"/>
      <c r="L174" s="66"/>
      <c r="M174" s="66"/>
      <c r="N174" s="66"/>
      <c r="O174" s="66"/>
      <c r="P174" s="66"/>
      <c r="Q174" s="66"/>
      <c r="R174" s="25"/>
      <c r="S174" s="36"/>
      <c r="T174" s="53">
        <f t="shared" si="6"/>
        <v>40196.5</v>
      </c>
      <c r="U174" s="42"/>
      <c r="V174" s="42"/>
      <c r="W174" s="42"/>
      <c r="X174" s="42"/>
      <c r="Y174" s="42"/>
    </row>
    <row r="175" ht="15.75" customHeight="1" spans="1:25" x14ac:dyDescent="0.25">
      <c r="A175" s="25" t="s">
        <v>1394</v>
      </c>
      <c r="B175" s="35">
        <v>1397</v>
      </c>
      <c r="C175" s="25" t="s">
        <v>1395</v>
      </c>
      <c r="D175" s="25" t="s">
        <v>1003</v>
      </c>
      <c r="E175" s="53">
        <v>450</v>
      </c>
      <c r="F175" s="50"/>
      <c r="G175" s="25"/>
      <c r="H175" s="25"/>
      <c r="I175" s="65"/>
      <c r="J175" s="66"/>
      <c r="K175" s="66"/>
      <c r="L175" s="66"/>
      <c r="M175" s="66"/>
      <c r="N175" s="66">
        <v>450</v>
      </c>
      <c r="O175" s="66"/>
      <c r="P175" s="66"/>
      <c r="Q175" s="66"/>
      <c r="R175" s="25"/>
      <c r="S175" s="36"/>
      <c r="T175" s="53">
        <f t="shared" si="6"/>
        <v>39746.5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>
        <v>1398</v>
      </c>
      <c r="C176" s="25" t="s">
        <v>1396</v>
      </c>
      <c r="D176" s="23"/>
      <c r="E176" s="53">
        <v>200</v>
      </c>
      <c r="F176" s="50"/>
      <c r="G176" s="25"/>
      <c r="H176" s="25"/>
      <c r="I176" s="65"/>
      <c r="J176" s="66"/>
      <c r="K176" s="66"/>
      <c r="L176" s="66"/>
      <c r="M176" s="66"/>
      <c r="N176" s="66"/>
      <c r="O176" s="67"/>
      <c r="P176" s="66">
        <v>200</v>
      </c>
      <c r="Q176" s="66"/>
      <c r="R176" s="25"/>
      <c r="S176" s="36"/>
      <c r="T176" s="53">
        <f t="shared" si="6"/>
        <v>39546.5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>
        <v>1399</v>
      </c>
      <c r="C177" s="25" t="s">
        <v>1354</v>
      </c>
      <c r="D177" s="25" t="s">
        <v>119</v>
      </c>
      <c r="E177" s="53">
        <v>4300</v>
      </c>
      <c r="F177" s="50"/>
      <c r="G177" s="25"/>
      <c r="H177" s="25"/>
      <c r="I177" s="65"/>
      <c r="J177" s="66"/>
      <c r="K177" s="66"/>
      <c r="L177" s="66"/>
      <c r="M177" s="66">
        <v>4300</v>
      </c>
      <c r="N177" s="66"/>
      <c r="O177" s="67"/>
      <c r="P177" s="66"/>
      <c r="Q177" s="66"/>
      <c r="R177" s="25"/>
      <c r="S177" s="36"/>
      <c r="T177" s="53">
        <f t="shared" si="6"/>
        <v>35246.5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0"/>
      <c r="G178" s="25"/>
      <c r="H178" s="25"/>
      <c r="I178" s="65"/>
      <c r="J178" s="66"/>
      <c r="K178" s="66"/>
      <c r="L178" s="66"/>
      <c r="M178" s="66"/>
      <c r="N178" s="66"/>
      <c r="O178" s="66"/>
      <c r="P178" s="66"/>
      <c r="Q178" s="67"/>
      <c r="R178" s="25"/>
      <c r="S178" s="36"/>
      <c r="T178" s="53">
        <f t="shared" si="6"/>
        <v>35246.5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>
        <f>SUM(E109:E178)</f>
        <v>361650</v>
      </c>
      <c r="F179" s="50"/>
      <c r="G179" s="35"/>
      <c r="H179" s="35"/>
      <c r="I179" s="53"/>
      <c r="J179" s="66"/>
      <c r="K179" s="66"/>
      <c r="L179" s="66"/>
      <c r="M179" s="66"/>
      <c r="N179" s="66"/>
      <c r="O179" s="66"/>
      <c r="P179" s="67"/>
      <c r="Q179" s="66"/>
      <c r="R179" s="25"/>
      <c r="S179" s="36"/>
      <c r="T179" s="53"/>
      <c r="U179" s="42"/>
      <c r="V179" s="42"/>
      <c r="W179" s="42"/>
      <c r="X179" s="42"/>
      <c r="Y179" s="42"/>
    </row>
    <row r="180" ht="15.75" customHeight="1" spans="1:25" x14ac:dyDescent="0.25">
      <c r="A180" s="25"/>
      <c r="B180" s="35"/>
      <c r="C180" s="25"/>
      <c r="D180" s="25"/>
      <c r="E180" s="53"/>
      <c r="F180" s="50"/>
      <c r="G180" s="35"/>
      <c r="H180" s="35"/>
      <c r="I180" s="53"/>
      <c r="J180" s="66"/>
      <c r="K180" s="66"/>
      <c r="L180" s="66"/>
      <c r="M180" s="66"/>
      <c r="N180" s="66"/>
      <c r="O180" s="66"/>
      <c r="P180" s="66"/>
      <c r="Q180" s="66"/>
      <c r="R180" s="25"/>
      <c r="S180" s="36"/>
      <c r="T180" s="53">
        <f t="shared" ref="T180:T212" si="7">T179-E180</f>
        <v>0</v>
      </c>
      <c r="U180" s="42"/>
      <c r="V180" s="42"/>
      <c r="W180" s="42"/>
      <c r="X180" s="42"/>
      <c r="Y180" s="42"/>
    </row>
    <row r="181" ht="15.75" customHeight="1" spans="1:25" x14ac:dyDescent="0.25">
      <c r="A181" s="25"/>
      <c r="B181" s="35"/>
      <c r="C181" s="25"/>
      <c r="D181" s="25"/>
      <c r="E181" s="53"/>
      <c r="F181" s="50"/>
      <c r="G181" s="25"/>
      <c r="H181" s="25"/>
      <c r="I181" s="65"/>
      <c r="J181" s="66"/>
      <c r="K181" s="66"/>
      <c r="L181" s="66"/>
      <c r="M181" s="66"/>
      <c r="N181" s="66"/>
      <c r="O181" s="66"/>
      <c r="P181" s="66"/>
      <c r="Q181" s="66"/>
      <c r="R181" s="25"/>
      <c r="S181" s="36"/>
      <c r="T181" s="53">
        <f t="shared" si="7"/>
        <v>0</v>
      </c>
      <c r="U181" s="42"/>
      <c r="V181" s="42"/>
      <c r="W181" s="42"/>
      <c r="X181" s="42"/>
      <c r="Y181" s="42"/>
    </row>
    <row r="182" ht="15.75" customHeight="1" spans="1:25" x14ac:dyDescent="0.25">
      <c r="A182" s="25"/>
      <c r="B182" s="35"/>
      <c r="C182" s="25"/>
      <c r="D182" s="25"/>
      <c r="E182" s="53"/>
      <c r="F182" s="50"/>
      <c r="G182" s="25"/>
      <c r="H182" s="25"/>
      <c r="I182" s="65"/>
      <c r="J182" s="66"/>
      <c r="K182" s="66"/>
      <c r="L182" s="66"/>
      <c r="M182" s="66"/>
      <c r="N182" s="66"/>
      <c r="O182" s="66"/>
      <c r="P182" s="66"/>
      <c r="Q182" s="66"/>
      <c r="R182" s="25"/>
      <c r="S182" s="36"/>
      <c r="T182" s="53">
        <f t="shared" si="7"/>
        <v>0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70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3">
        <f t="shared" si="7"/>
        <v>0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56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3">
        <f t="shared" si="7"/>
        <v>0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70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3">
        <f t="shared" si="7"/>
        <v>0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3">
        <f t="shared" si="7"/>
        <v>0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9"/>
      <c r="H187" s="29"/>
      <c r="I187" s="56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3">
        <f t="shared" si="7"/>
        <v>0</v>
      </c>
      <c r="U187" s="42"/>
      <c r="V187" s="42"/>
      <c r="W187" s="42"/>
      <c r="X187" s="42"/>
      <c r="Y187" s="42"/>
    </row>
    <row r="188" ht="15.75" customHeight="1" spans="1:25" x14ac:dyDescent="0.25">
      <c r="A188" s="40"/>
      <c r="B188" s="35"/>
      <c r="C188" s="40"/>
      <c r="D188" s="40"/>
      <c r="E188" s="53"/>
      <c r="F188" s="50"/>
      <c r="G188" s="25"/>
      <c r="H188" s="25"/>
      <c r="I188" s="65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3">
        <f t="shared" si="7"/>
        <v>0</v>
      </c>
      <c r="U188" s="42"/>
      <c r="V188" s="42"/>
      <c r="W188" s="42"/>
      <c r="X188" s="42"/>
      <c r="Y188" s="42"/>
    </row>
    <row r="189" ht="15.75" customHeight="1" spans="1:25" x14ac:dyDescent="0.25">
      <c r="A189" s="25"/>
      <c r="B189" s="35"/>
      <c r="C189" s="40"/>
      <c r="D189" s="40"/>
      <c r="E189" s="53"/>
      <c r="F189" s="50"/>
      <c r="G189" s="35"/>
      <c r="H189" s="53"/>
      <c r="I189" s="53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3">
        <f t="shared" si="7"/>
        <v>0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35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3">
        <f t="shared" si="7"/>
        <v>0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3">
        <f t="shared" si="7"/>
        <v>0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3">
        <f t="shared" si="7"/>
        <v>0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25"/>
      <c r="D193" s="25"/>
      <c r="E193" s="53"/>
      <c r="F193" s="50"/>
      <c r="G193" s="25"/>
      <c r="H193" s="26"/>
      <c r="I193" s="70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3">
        <f t="shared" si="7"/>
        <v>0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3">
        <f t="shared" si="7"/>
        <v>0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3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3">
        <f t="shared" si="7"/>
        <v>0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3">
        <f t="shared" si="7"/>
        <v>0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3">
        <f t="shared" si="7"/>
        <v>0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3">
        <f t="shared" si="7"/>
        <v>0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3">
        <f t="shared" si="7"/>
        <v>0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2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3">
        <f t="shared" si="7"/>
        <v>0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7"/>
        <v>0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3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7"/>
        <v>0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7"/>
        <v>0</v>
      </c>
      <c r="U203" s="42"/>
      <c r="V203" s="42"/>
      <c r="W203" s="42"/>
      <c r="X203" s="42"/>
      <c r="Y203" s="42"/>
    </row>
    <row r="204" ht="15.75" customHeight="1" spans="1:25" x14ac:dyDescent="0.25">
      <c r="A204" s="26"/>
      <c r="B204" s="35"/>
      <c r="C204" s="25"/>
      <c r="D204" s="25"/>
      <c r="E204" s="53"/>
      <c r="F204" s="50"/>
      <c r="G204" s="2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7"/>
        <v>0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3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7"/>
        <v>0</v>
      </c>
      <c r="U205" s="42"/>
      <c r="V205" s="42"/>
      <c r="W205" s="42"/>
      <c r="X205" s="42"/>
      <c r="Y205" s="42"/>
    </row>
    <row r="206" ht="15.75" customHeight="1" spans="1:25" x14ac:dyDescent="0.25">
      <c r="A206" s="12"/>
      <c r="B206" s="26"/>
      <c r="C206" s="26"/>
      <c r="D206" s="26"/>
      <c r="E206" s="70"/>
      <c r="F206" s="57"/>
      <c r="G206" s="26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7"/>
        <v>0</v>
      </c>
      <c r="U206" s="42"/>
      <c r="V206" s="42"/>
      <c r="W206" s="42"/>
      <c r="X206" s="42"/>
      <c r="Y206" s="42"/>
    </row>
    <row r="207" ht="15.75" customHeight="1" spans="1:25" x14ac:dyDescent="0.25">
      <c r="A207" s="38"/>
      <c r="B207" s="29"/>
      <c r="C207" s="38"/>
      <c r="D207" s="38"/>
      <c r="E207" s="56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7"/>
        <v>0</v>
      </c>
      <c r="U207" s="42"/>
      <c r="V207" s="42"/>
      <c r="W207" s="42"/>
      <c r="X207" s="42"/>
      <c r="Y207" s="42"/>
    </row>
    <row r="208" ht="15.75" customHeight="1" spans="1:25" x14ac:dyDescent="0.25">
      <c r="A208" s="26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7"/>
        <v>0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7"/>
        <v>0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9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7"/>
        <v>0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7"/>
        <v>0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7"/>
        <v>0</v>
      </c>
      <c r="U212" s="42"/>
      <c r="V212" s="42"/>
      <c r="W212" s="42"/>
      <c r="X212" s="42"/>
      <c r="Y212" s="42"/>
    </row>
    <row r="213" ht="15.75" customHeight="1" spans="1:25" x14ac:dyDescent="0.25">
      <c r="A213" s="40"/>
      <c r="B213" s="35"/>
      <c r="C213" s="40"/>
      <c r="D213" s="25"/>
      <c r="E213" s="53"/>
      <c r="F213" s="68"/>
      <c r="G213" s="35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>T212-E213+75000</f>
        <v>75000</v>
      </c>
      <c r="U213" s="42"/>
      <c r="V213" s="42"/>
      <c r="W213" s="42"/>
      <c r="X213" s="42"/>
      <c r="Y213" s="42"/>
    </row>
    <row r="214" ht="15.75" customHeight="1" spans="1:25" x14ac:dyDescent="0.25">
      <c r="A214" s="25"/>
      <c r="B214" s="35"/>
      <c r="C214" s="40"/>
      <c r="D214" s="40"/>
      <c r="E214" s="53"/>
      <c r="F214" s="50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 t="shared" ref="T214:T225" si="8">T213-E214</f>
        <v>75000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25"/>
      <c r="D215" s="25"/>
      <c r="E215" s="53"/>
      <c r="F215" s="50"/>
      <c r="G215" s="35"/>
      <c r="H215" s="35"/>
      <c r="I215" s="53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si="8"/>
        <v>75000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26"/>
      <c r="I216" s="70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8"/>
        <v>75000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8"/>
        <v>75000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8"/>
        <v>75000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8"/>
        <v>75000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8"/>
        <v>75000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2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8"/>
        <v>75000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8"/>
        <v>75000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8"/>
        <v>75000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8"/>
        <v>75000</v>
      </c>
      <c r="U224" s="42"/>
      <c r="V224" s="42"/>
      <c r="W224" s="42"/>
      <c r="X224" s="42"/>
      <c r="Y224" s="42"/>
    </row>
    <row r="225" ht="15.75" customHeight="1" spans="1:25" x14ac:dyDescent="0.25">
      <c r="A225" s="26"/>
      <c r="B225" s="29"/>
      <c r="C225" s="26"/>
      <c r="D225" s="26"/>
      <c r="E225" s="56"/>
      <c r="F225" s="57"/>
      <c r="G225" s="29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8"/>
        <v>75000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69"/>
      <c r="G226" s="26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>T225-E226+111000</f>
        <v>186000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57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 t="shared" ref="T227:T256" si="9">T226-E227</f>
        <v>186000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si="9"/>
        <v>186000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9"/>
        <v>186000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9"/>
        <v>186000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9"/>
        <v>186000</v>
      </c>
      <c r="U231" s="42"/>
      <c r="V231" s="42"/>
      <c r="W231" s="42"/>
      <c r="X231" s="42"/>
      <c r="Y231" s="42"/>
    </row>
    <row r="232" ht="15.75" customHeight="1" spans="1:25" x14ac:dyDescent="0.25">
      <c r="A232" s="25"/>
      <c r="B232" s="35"/>
      <c r="C232" s="25"/>
      <c r="D232" s="25"/>
      <c r="E232" s="53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9"/>
        <v>186000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9"/>
        <v>186000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9"/>
        <v>186000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9"/>
        <v>186000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9"/>
        <v>186000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9"/>
        <v>186000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9"/>
        <v>186000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9"/>
        <v>186000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9"/>
        <v>186000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0"/>
      <c r="G241" s="35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9"/>
        <v>186000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9"/>
        <v>186000</v>
      </c>
      <c r="U242" s="42"/>
      <c r="V242" s="42"/>
      <c r="W242" s="42"/>
      <c r="X242" s="42"/>
      <c r="Y242" s="42"/>
    </row>
    <row r="243" ht="15.75" customHeight="1" spans="1:25" x14ac:dyDescent="0.25">
      <c r="A243" s="26"/>
      <c r="B243" s="26"/>
      <c r="C243" s="26"/>
      <c r="D243" s="26"/>
      <c r="E243" s="70"/>
      <c r="F243" s="57"/>
      <c r="G243" s="26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9"/>
        <v>186000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9"/>
        <v>186000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9"/>
        <v>186000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9"/>
        <v>186000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9"/>
        <v>186000</v>
      </c>
      <c r="U247" s="42"/>
      <c r="V247" s="42"/>
      <c r="W247" s="42"/>
      <c r="X247" s="42"/>
      <c r="Y247" s="42"/>
    </row>
    <row r="248" ht="15.75" customHeight="1" spans="1:25" x14ac:dyDescent="0.25">
      <c r="A248" s="25"/>
      <c r="B248" s="35"/>
      <c r="C248" s="25"/>
      <c r="D248" s="25"/>
      <c r="E248" s="53"/>
      <c r="F248" s="50"/>
      <c r="G248" s="35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9"/>
        <v>186000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9"/>
        <v>186000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9"/>
        <v>186000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2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9"/>
        <v>186000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3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9"/>
        <v>186000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9"/>
        <v>186000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9"/>
        <v>186000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9"/>
        <v>186000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2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9"/>
        <v>186000</v>
      </c>
      <c r="U256" s="42"/>
      <c r="V256" s="42"/>
      <c r="W256" s="42"/>
      <c r="X256" s="42"/>
      <c r="Y256" s="42"/>
    </row>
    <row r="257" ht="15.75" customHeight="1" spans="1:25" x14ac:dyDescent="0.25">
      <c r="A257" s="26"/>
      <c r="B257" s="29"/>
      <c r="C257" s="26"/>
      <c r="D257" s="26"/>
      <c r="E257" s="56"/>
      <c r="F257" s="69"/>
      <c r="G257" s="26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>T256-E257+45000</f>
        <v>231000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57"/>
      <c r="G258" s="29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 t="shared" ref="T258:T260" si="10">T257-E258</f>
        <v>231000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6"/>
      <c r="C259" s="26"/>
      <c r="D259" s="26"/>
      <c r="E259" s="70"/>
      <c r="F259" s="57"/>
      <c r="G259" s="26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si="10"/>
        <v>231000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10"/>
        <v>231000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26"/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42"/>
      <c r="B297" s="42"/>
      <c r="C297" s="42"/>
      <c r="D297" s="42"/>
      <c r="E297" s="58"/>
      <c r="F297" s="43"/>
      <c r="G297" s="42"/>
      <c r="H297" s="42"/>
      <c r="I297" s="58"/>
      <c r="J297" s="59"/>
      <c r="K297" s="59"/>
      <c r="L297" s="59"/>
      <c r="M297" s="59"/>
      <c r="N297" s="59"/>
      <c r="O297" s="59"/>
      <c r="P297" s="59"/>
      <c r="Q297" s="59"/>
      <c r="R297" s="42"/>
      <c r="S297" s="44"/>
      <c r="T297" s="42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hyperlinks>
    <hyperlink ref="D4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1" width="9.21875" customWidth="1"/>
    <col min="2" max="2" width="8.33203125" customWidth="1"/>
    <col min="3" max="3" width="33.109375" customWidth="1"/>
    <col min="4" max="4" width="20.88671875" customWidth="1"/>
    <col min="5" max="6" width="12.6640625" customWidth="1"/>
    <col min="7" max="7" width="7.88671875" customWidth="1"/>
    <col min="8" max="8" width="6.44140625" customWidth="1"/>
    <col min="9" max="9" width="9.6640625" customWidth="1"/>
    <col min="10" max="10" width="8.109375" customWidth="1"/>
    <col min="11" max="11" width="10.21875" customWidth="1"/>
    <col min="12" max="12" width="8.33203125" customWidth="1"/>
    <col min="13" max="13" width="7.44140625" customWidth="1"/>
    <col min="15" max="15" width="10.21875" customWidth="1"/>
    <col min="17" max="17" width="10" customWidth="1"/>
    <col min="18" max="18" width="9.109375" customWidth="1"/>
  </cols>
  <sheetData>
    <row r="1" ht="15.75" customHeight="1" spans="1:26" x14ac:dyDescent="0.2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50"/>
      <c r="G1" s="77" t="s">
        <v>5</v>
      </c>
      <c r="H1" s="6"/>
      <c r="I1" s="7"/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5" t="s">
        <v>387</v>
      </c>
      <c r="S1" s="36"/>
      <c r="T1" s="75" t="s">
        <v>15</v>
      </c>
      <c r="U1" s="42"/>
      <c r="V1" s="42"/>
      <c r="W1" s="42"/>
      <c r="X1" s="42"/>
      <c r="Y1" s="42"/>
      <c r="Z1" s="1"/>
    </row>
    <row r="2" ht="15.75" customHeight="1" spans="1:25" x14ac:dyDescent="0.25">
      <c r="A2" s="9"/>
      <c r="B2" s="9"/>
      <c r="C2" s="9"/>
      <c r="D2" s="9"/>
      <c r="E2" s="9"/>
      <c r="F2" s="50"/>
      <c r="G2" s="52" t="s">
        <v>16</v>
      </c>
      <c r="H2" s="52" t="s">
        <v>17</v>
      </c>
      <c r="I2" s="64" t="s">
        <v>18</v>
      </c>
      <c r="J2" s="9"/>
      <c r="K2" s="9"/>
      <c r="L2" s="9"/>
      <c r="M2" s="9"/>
      <c r="N2" s="9"/>
      <c r="O2" s="9"/>
      <c r="P2" s="9"/>
      <c r="Q2" s="9"/>
      <c r="R2" s="9"/>
      <c r="S2" s="36"/>
      <c r="T2" s="9"/>
      <c r="U2" s="42"/>
      <c r="V2" s="42"/>
      <c r="W2" s="42"/>
      <c r="X2" s="42"/>
      <c r="Y2" s="42"/>
    </row>
    <row r="3" ht="15.75" customHeight="1" spans="1:25" x14ac:dyDescent="0.25">
      <c r="A3" s="25" t="s">
        <v>1347</v>
      </c>
      <c r="B3" s="25"/>
      <c r="C3" s="25" t="s">
        <v>51</v>
      </c>
      <c r="D3" s="25"/>
      <c r="E3" s="65"/>
      <c r="F3" s="50"/>
      <c r="G3" s="25"/>
      <c r="H3" s="25"/>
      <c r="I3" s="53"/>
      <c r="J3" s="66"/>
      <c r="K3" s="66"/>
      <c r="L3" s="66"/>
      <c r="M3" s="66"/>
      <c r="N3" s="66"/>
      <c r="O3" s="66"/>
      <c r="P3" s="66"/>
      <c r="Q3" s="66"/>
      <c r="R3" s="25" t="s">
        <v>206</v>
      </c>
      <c r="S3" s="36"/>
      <c r="T3" s="53">
        <v>-142963.5</v>
      </c>
      <c r="U3" s="42"/>
      <c r="V3" s="42"/>
      <c r="W3" s="42"/>
      <c r="X3" s="42"/>
      <c r="Y3" s="42"/>
    </row>
    <row r="4" ht="15.75" customHeight="1" spans="1:25" x14ac:dyDescent="0.25">
      <c r="A4" s="25"/>
      <c r="B4" s="35"/>
      <c r="C4" s="25" t="s">
        <v>1092</v>
      </c>
      <c r="D4" s="25"/>
      <c r="E4" s="53"/>
      <c r="F4" s="68">
        <v>200000</v>
      </c>
      <c r="G4" s="35"/>
      <c r="H4" s="35"/>
      <c r="I4" s="53"/>
      <c r="J4" s="66"/>
      <c r="K4" s="66"/>
      <c r="L4" s="66"/>
      <c r="M4" s="66"/>
      <c r="N4" s="66"/>
      <c r="O4" s="66"/>
      <c r="P4" s="66"/>
      <c r="Q4" s="66"/>
      <c r="R4" s="25"/>
      <c r="S4" s="36"/>
      <c r="T4" s="53">
        <f>T3-E4+200000</f>
        <v>57036.5</v>
      </c>
      <c r="U4" s="42"/>
      <c r="V4" s="42"/>
      <c r="W4" s="42"/>
      <c r="X4" s="42"/>
      <c r="Y4" s="42"/>
    </row>
    <row r="5" ht="15.75" customHeight="1" spans="1:25" x14ac:dyDescent="0.25">
      <c r="A5" s="25"/>
      <c r="B5" s="35">
        <v>1344</v>
      </c>
      <c r="C5" s="25" t="s">
        <v>440</v>
      </c>
      <c r="D5" s="25" t="s">
        <v>420</v>
      </c>
      <c r="E5" s="53">
        <v>1800</v>
      </c>
      <c r="F5" s="50"/>
      <c r="G5" s="35">
        <v>12</v>
      </c>
      <c r="H5" s="35">
        <v>150</v>
      </c>
      <c r="I5" s="53">
        <v>1800</v>
      </c>
      <c r="J5" s="66"/>
      <c r="K5" s="66"/>
      <c r="L5" s="66"/>
      <c r="M5" s="66"/>
      <c r="N5" s="66"/>
      <c r="O5" s="66"/>
      <c r="P5" s="66"/>
      <c r="Q5" s="66"/>
      <c r="R5" s="25"/>
      <c r="S5" s="36"/>
      <c r="T5" s="53">
        <f t="shared" ref="T5:T16" si="0">T4-E5</f>
        <v>55236.5</v>
      </c>
      <c r="U5" s="42"/>
      <c r="V5" s="42"/>
      <c r="W5" s="42"/>
      <c r="X5" s="42"/>
      <c r="Y5" s="42"/>
    </row>
    <row r="6" ht="15.75" customHeight="1" spans="1:25" x14ac:dyDescent="0.25">
      <c r="A6" s="25"/>
      <c r="B6" s="35">
        <v>1345</v>
      </c>
      <c r="C6" s="25" t="s">
        <v>170</v>
      </c>
      <c r="D6" s="25" t="s">
        <v>507</v>
      </c>
      <c r="E6" s="53">
        <v>3300</v>
      </c>
      <c r="F6" s="50"/>
      <c r="G6" s="35">
        <v>33</v>
      </c>
      <c r="H6" s="35">
        <v>100</v>
      </c>
      <c r="I6" s="53">
        <v>3300</v>
      </c>
      <c r="J6" s="66"/>
      <c r="K6" s="66"/>
      <c r="L6" s="66"/>
      <c r="M6" s="66"/>
      <c r="N6" s="66"/>
      <c r="O6" s="66"/>
      <c r="P6" s="66"/>
      <c r="Q6" s="66"/>
      <c r="R6" s="25"/>
      <c r="S6" s="36"/>
      <c r="T6" s="53">
        <f t="shared" si="0"/>
        <v>51936.5</v>
      </c>
      <c r="U6" s="42"/>
      <c r="V6" s="42"/>
      <c r="W6" s="42"/>
      <c r="X6" s="42"/>
      <c r="Y6" s="42"/>
    </row>
    <row r="7" ht="15.75" customHeight="1" spans="1:25" x14ac:dyDescent="0.25">
      <c r="A7" s="25"/>
      <c r="B7" s="35">
        <v>1346</v>
      </c>
      <c r="C7" s="25" t="s">
        <v>170</v>
      </c>
      <c r="D7" s="25" t="s">
        <v>1348</v>
      </c>
      <c r="E7" s="53">
        <v>7470</v>
      </c>
      <c r="F7" s="50"/>
      <c r="G7" s="35">
        <v>83</v>
      </c>
      <c r="H7" s="35">
        <v>90</v>
      </c>
      <c r="I7" s="53">
        <v>7470</v>
      </c>
      <c r="J7" s="66"/>
      <c r="K7" s="66"/>
      <c r="L7" s="66"/>
      <c r="M7" s="67"/>
      <c r="N7" s="66"/>
      <c r="O7" s="66"/>
      <c r="P7" s="66"/>
      <c r="Q7" s="66"/>
      <c r="R7" s="25"/>
      <c r="S7" s="36"/>
      <c r="T7" s="53">
        <f t="shared" si="0"/>
        <v>44466.5</v>
      </c>
      <c r="U7" s="42"/>
      <c r="V7" s="42"/>
      <c r="W7" s="42"/>
      <c r="X7" s="42"/>
      <c r="Y7" s="42"/>
    </row>
    <row r="8" ht="15.75" customHeight="1" spans="1:25" x14ac:dyDescent="0.25">
      <c r="A8" s="25"/>
      <c r="B8" s="35">
        <v>1347</v>
      </c>
      <c r="C8" s="25" t="s">
        <v>170</v>
      </c>
      <c r="D8" s="25" t="s">
        <v>1349</v>
      </c>
      <c r="E8" s="53">
        <v>4500</v>
      </c>
      <c r="F8" s="50"/>
      <c r="G8" s="35">
        <v>50</v>
      </c>
      <c r="H8" s="35">
        <v>90</v>
      </c>
      <c r="I8" s="53">
        <v>4500</v>
      </c>
      <c r="J8" s="66"/>
      <c r="K8" s="66"/>
      <c r="L8" s="66"/>
      <c r="M8" s="66"/>
      <c r="N8" s="66"/>
      <c r="O8" s="66"/>
      <c r="P8" s="67"/>
      <c r="Q8" s="66"/>
      <c r="R8" s="25"/>
      <c r="S8" s="36"/>
      <c r="T8" s="53">
        <f t="shared" si="0"/>
        <v>39966.5</v>
      </c>
      <c r="U8" s="42"/>
      <c r="V8" s="42"/>
      <c r="W8" s="42"/>
      <c r="X8" s="42"/>
      <c r="Y8" s="42"/>
    </row>
    <row r="9" ht="15.75" customHeight="1" spans="1:25" x14ac:dyDescent="0.25">
      <c r="A9" s="25" t="s">
        <v>1350</v>
      </c>
      <c r="B9" s="35">
        <v>1348</v>
      </c>
      <c r="C9" s="25" t="s">
        <v>170</v>
      </c>
      <c r="D9" s="25" t="s">
        <v>1351</v>
      </c>
      <c r="E9" s="53">
        <v>5220</v>
      </c>
      <c r="F9" s="50"/>
      <c r="G9" s="35">
        <v>58</v>
      </c>
      <c r="H9" s="35">
        <v>90</v>
      </c>
      <c r="I9" s="53">
        <v>5220</v>
      </c>
      <c r="J9" s="66"/>
      <c r="K9" s="66"/>
      <c r="L9" s="66"/>
      <c r="M9" s="66"/>
      <c r="N9" s="66"/>
      <c r="O9" s="66"/>
      <c r="P9" s="66"/>
      <c r="Q9" s="66"/>
      <c r="R9" s="25"/>
      <c r="S9" s="36"/>
      <c r="T9" s="53">
        <f t="shared" si="0"/>
        <v>34746.5</v>
      </c>
      <c r="U9" s="42"/>
      <c r="V9" s="42"/>
      <c r="W9" s="42"/>
      <c r="X9" s="42"/>
      <c r="Y9" s="42"/>
    </row>
    <row r="10" ht="15.75" customHeight="1" spans="1:25" x14ac:dyDescent="0.25">
      <c r="A10" s="25"/>
      <c r="B10" s="35">
        <v>1349</v>
      </c>
      <c r="C10" s="25" t="s">
        <v>170</v>
      </c>
      <c r="D10" s="25" t="s">
        <v>1352</v>
      </c>
      <c r="E10" s="53">
        <v>1200</v>
      </c>
      <c r="F10" s="50"/>
      <c r="G10" s="35">
        <v>12</v>
      </c>
      <c r="H10" s="35">
        <v>100</v>
      </c>
      <c r="I10" s="53">
        <v>1200</v>
      </c>
      <c r="J10" s="66"/>
      <c r="K10" s="66"/>
      <c r="L10" s="66"/>
      <c r="M10" s="66"/>
      <c r="N10" s="66"/>
      <c r="O10" s="66"/>
      <c r="P10" s="66"/>
      <c r="Q10" s="66"/>
      <c r="R10" s="25"/>
      <c r="S10" s="36"/>
      <c r="T10" s="53">
        <f t="shared" si="0"/>
        <v>33546.5</v>
      </c>
      <c r="U10" s="42"/>
      <c r="V10" s="42"/>
      <c r="W10" s="42"/>
      <c r="X10" s="42"/>
      <c r="Y10" s="42"/>
    </row>
    <row r="11" ht="15.75" customHeight="1" spans="1:25" x14ac:dyDescent="0.25">
      <c r="A11" s="25"/>
      <c r="B11" s="35">
        <v>1350</v>
      </c>
      <c r="C11" s="25" t="s">
        <v>170</v>
      </c>
      <c r="D11" s="25" t="s">
        <v>1200</v>
      </c>
      <c r="E11" s="53">
        <v>19080</v>
      </c>
      <c r="F11" s="50"/>
      <c r="G11" s="35">
        <v>159</v>
      </c>
      <c r="H11" s="35">
        <v>120</v>
      </c>
      <c r="I11" s="53">
        <v>19080</v>
      </c>
      <c r="J11" s="66"/>
      <c r="K11" s="66"/>
      <c r="L11" s="67"/>
      <c r="M11" s="66"/>
      <c r="N11" s="66"/>
      <c r="O11" s="66"/>
      <c r="P11" s="66"/>
      <c r="Q11" s="66"/>
      <c r="R11" s="25"/>
      <c r="S11" s="36"/>
      <c r="T11" s="53">
        <f t="shared" si="0"/>
        <v>14466.5</v>
      </c>
      <c r="U11" s="42"/>
      <c r="V11" s="42"/>
      <c r="W11" s="42"/>
      <c r="X11" s="42"/>
      <c r="Y11" s="42"/>
    </row>
    <row r="12" ht="15.75" customHeight="1" spans="1:25" x14ac:dyDescent="0.25">
      <c r="A12" s="25"/>
      <c r="B12" s="35">
        <v>1351</v>
      </c>
      <c r="C12" s="25" t="s">
        <v>170</v>
      </c>
      <c r="D12" s="25" t="s">
        <v>432</v>
      </c>
      <c r="E12" s="53">
        <v>1300</v>
      </c>
      <c r="F12" s="50"/>
      <c r="G12" s="35">
        <v>13</v>
      </c>
      <c r="H12" s="35">
        <v>100</v>
      </c>
      <c r="I12" s="53">
        <v>1300</v>
      </c>
      <c r="J12" s="66"/>
      <c r="K12" s="66"/>
      <c r="L12" s="66"/>
      <c r="M12" s="66"/>
      <c r="N12" s="66"/>
      <c r="O12" s="66"/>
      <c r="P12" s="66"/>
      <c r="Q12" s="66"/>
      <c r="R12" s="25"/>
      <c r="S12" s="36"/>
      <c r="T12" s="53">
        <f t="shared" si="0"/>
        <v>13166.5</v>
      </c>
      <c r="U12" s="42"/>
      <c r="V12" s="42"/>
      <c r="W12" s="42"/>
      <c r="X12" s="42"/>
      <c r="Y12" s="42"/>
    </row>
    <row r="13" ht="15.75" customHeight="1" spans="1:25" x14ac:dyDescent="0.25">
      <c r="A13" s="25"/>
      <c r="B13" s="35">
        <v>1352</v>
      </c>
      <c r="C13" s="25" t="s">
        <v>744</v>
      </c>
      <c r="D13" s="25" t="s">
        <v>1061</v>
      </c>
      <c r="E13" s="53">
        <v>2700</v>
      </c>
      <c r="F13" s="50"/>
      <c r="G13" s="35">
        <v>45</v>
      </c>
      <c r="H13" s="35">
        <v>60</v>
      </c>
      <c r="I13" s="53">
        <v>2700</v>
      </c>
      <c r="J13" s="66"/>
      <c r="K13" s="66"/>
      <c r="L13" s="66"/>
      <c r="M13" s="66"/>
      <c r="N13" s="66"/>
      <c r="O13" s="66"/>
      <c r="P13" s="66"/>
      <c r="Q13" s="66"/>
      <c r="R13" s="25"/>
      <c r="S13" s="36"/>
      <c r="T13" s="53">
        <f t="shared" si="0"/>
        <v>10466.5</v>
      </c>
      <c r="U13" s="42"/>
      <c r="V13" s="42"/>
      <c r="W13" s="42"/>
      <c r="X13" s="42"/>
      <c r="Y13" s="42"/>
    </row>
    <row r="14" ht="15.75" customHeight="1" spans="1:25" x14ac:dyDescent="0.25">
      <c r="A14" s="25"/>
      <c r="B14" s="35">
        <v>1353</v>
      </c>
      <c r="C14" s="25" t="s">
        <v>1353</v>
      </c>
      <c r="D14" s="25" t="s">
        <v>91</v>
      </c>
      <c r="E14" s="53">
        <v>560</v>
      </c>
      <c r="F14" s="50"/>
      <c r="G14" s="35">
        <v>8</v>
      </c>
      <c r="H14" s="35">
        <v>70</v>
      </c>
      <c r="I14" s="53">
        <v>560</v>
      </c>
      <c r="J14" s="66"/>
      <c r="K14" s="66"/>
      <c r="L14" s="66"/>
      <c r="M14" s="66"/>
      <c r="N14" s="66"/>
      <c r="O14" s="66"/>
      <c r="P14" s="66"/>
      <c r="Q14" s="66"/>
      <c r="R14" s="25"/>
      <c r="S14" s="36"/>
      <c r="T14" s="53">
        <f t="shared" si="0"/>
        <v>9906.5</v>
      </c>
      <c r="U14" s="42"/>
      <c r="V14" s="42"/>
      <c r="W14" s="42"/>
      <c r="X14" s="42"/>
      <c r="Y14" s="42"/>
    </row>
    <row r="15" ht="15.75" customHeight="1" spans="1:25" x14ac:dyDescent="0.25">
      <c r="A15" s="25"/>
      <c r="B15" s="35">
        <v>1354</v>
      </c>
      <c r="C15" s="25" t="s">
        <v>1354</v>
      </c>
      <c r="D15" s="25" t="s">
        <v>119</v>
      </c>
      <c r="E15" s="53">
        <v>3000</v>
      </c>
      <c r="F15" s="50"/>
      <c r="G15" s="35"/>
      <c r="H15" s="35"/>
      <c r="I15" s="53"/>
      <c r="J15" s="66"/>
      <c r="K15" s="66"/>
      <c r="L15" s="66"/>
      <c r="M15" s="66">
        <v>3000</v>
      </c>
      <c r="N15" s="66"/>
      <c r="O15" s="66"/>
      <c r="P15" s="66"/>
      <c r="Q15" s="67"/>
      <c r="R15" s="25"/>
      <c r="S15" s="36"/>
      <c r="T15" s="53">
        <f t="shared" si="0"/>
        <v>6906.5</v>
      </c>
      <c r="U15" s="42"/>
      <c r="V15" s="42"/>
      <c r="W15" s="42"/>
      <c r="X15" s="42"/>
      <c r="Y15" s="42"/>
    </row>
    <row r="16" ht="15.75" customHeight="1" spans="1:25" x14ac:dyDescent="0.25">
      <c r="A16" s="25"/>
      <c r="B16" s="35">
        <v>1355</v>
      </c>
      <c r="C16" s="25" t="s">
        <v>1355</v>
      </c>
      <c r="D16" s="25"/>
      <c r="E16" s="53">
        <v>560</v>
      </c>
      <c r="F16" s="50"/>
      <c r="G16" s="35"/>
      <c r="H16" s="35"/>
      <c r="I16" s="53"/>
      <c r="J16" s="66"/>
      <c r="K16" s="66"/>
      <c r="L16" s="66"/>
      <c r="M16" s="66"/>
      <c r="N16" s="66"/>
      <c r="O16" s="66"/>
      <c r="P16" s="67"/>
      <c r="Q16" s="66"/>
      <c r="R16" s="25"/>
      <c r="S16" s="36"/>
      <c r="T16" s="53">
        <f t="shared" si="0"/>
        <v>6346.5</v>
      </c>
      <c r="U16" s="42"/>
      <c r="V16" s="42"/>
      <c r="W16" s="42"/>
      <c r="X16" s="42"/>
      <c r="Y16" s="42"/>
    </row>
    <row r="17" ht="15.75" customHeight="1" spans="1:25" x14ac:dyDescent="0.25">
      <c r="A17" s="25"/>
      <c r="B17" s="25"/>
      <c r="C17" s="25" t="s">
        <v>1092</v>
      </c>
      <c r="D17" s="35"/>
      <c r="E17" s="50"/>
      <c r="F17" s="68">
        <v>200000</v>
      </c>
      <c r="G17" s="35"/>
      <c r="H17" s="35"/>
      <c r="I17" s="53"/>
      <c r="J17" s="66"/>
      <c r="K17" s="66"/>
      <c r="L17" s="66"/>
      <c r="M17" s="66"/>
      <c r="N17" s="66"/>
      <c r="O17" s="66"/>
      <c r="P17" s="67"/>
      <c r="Q17" s="66"/>
      <c r="R17" s="25"/>
      <c r="S17" s="36"/>
      <c r="T17" s="53">
        <f>T16-E17+200000</f>
        <v>206346.5</v>
      </c>
      <c r="U17" s="42"/>
      <c r="V17" s="42"/>
      <c r="W17" s="42"/>
      <c r="X17" s="42"/>
      <c r="Y17" s="42"/>
    </row>
    <row r="18" ht="15.75" customHeight="1" spans="1:25" x14ac:dyDescent="0.25">
      <c r="A18" s="25" t="s">
        <v>1356</v>
      </c>
      <c r="B18" s="35">
        <v>1356</v>
      </c>
      <c r="C18" s="25" t="s">
        <v>170</v>
      </c>
      <c r="D18" s="25" t="s">
        <v>1357</v>
      </c>
      <c r="E18" s="53">
        <v>4800</v>
      </c>
      <c r="F18" s="50"/>
      <c r="G18" s="35">
        <v>48</v>
      </c>
      <c r="H18" s="35">
        <v>100</v>
      </c>
      <c r="I18" s="53">
        <v>4800</v>
      </c>
      <c r="J18" s="66"/>
      <c r="K18" s="66"/>
      <c r="L18" s="66"/>
      <c r="M18" s="66"/>
      <c r="N18" s="66"/>
      <c r="O18" s="66"/>
      <c r="P18" s="66"/>
      <c r="Q18" s="66"/>
      <c r="R18" s="25"/>
      <c r="S18" s="36"/>
      <c r="T18" s="53">
        <f t="shared" ref="T18:T42" si="1">T17-E18</f>
        <v>201546.5</v>
      </c>
      <c r="U18" s="42"/>
      <c r="V18" s="42"/>
      <c r="W18" s="42"/>
      <c r="X18" s="42"/>
      <c r="Y18" s="42"/>
    </row>
    <row r="19" ht="15.75" customHeight="1" spans="1:25" x14ac:dyDescent="0.25">
      <c r="A19" s="25"/>
      <c r="B19" s="35">
        <v>1357</v>
      </c>
      <c r="C19" s="25" t="s">
        <v>170</v>
      </c>
      <c r="D19" s="25" t="s">
        <v>395</v>
      </c>
      <c r="E19" s="53">
        <v>2300</v>
      </c>
      <c r="F19" s="50"/>
      <c r="G19" s="35">
        <v>23</v>
      </c>
      <c r="H19" s="35">
        <v>100</v>
      </c>
      <c r="I19" s="53">
        <v>2300</v>
      </c>
      <c r="J19" s="66"/>
      <c r="K19" s="66"/>
      <c r="L19" s="66"/>
      <c r="M19" s="66"/>
      <c r="N19" s="66"/>
      <c r="O19" s="66"/>
      <c r="P19" s="66"/>
      <c r="Q19" s="66"/>
      <c r="R19" s="25"/>
      <c r="S19" s="36"/>
      <c r="T19" s="53">
        <f t="shared" si="1"/>
        <v>199246.5</v>
      </c>
      <c r="U19" s="42"/>
      <c r="V19" s="42"/>
      <c r="W19" s="42"/>
      <c r="X19" s="42"/>
      <c r="Y19" s="42"/>
    </row>
    <row r="20" ht="15.75" customHeight="1" spans="1:25" x14ac:dyDescent="0.25">
      <c r="A20" s="25"/>
      <c r="B20" s="35">
        <v>1358</v>
      </c>
      <c r="C20" s="25" t="s">
        <v>170</v>
      </c>
      <c r="D20" s="25" t="s">
        <v>1357</v>
      </c>
      <c r="E20" s="53">
        <v>3200</v>
      </c>
      <c r="F20" s="50"/>
      <c r="G20" s="35">
        <v>32</v>
      </c>
      <c r="H20" s="35">
        <v>100</v>
      </c>
      <c r="I20" s="53">
        <v>3200</v>
      </c>
      <c r="J20" s="66"/>
      <c r="K20" s="67"/>
      <c r="L20" s="66"/>
      <c r="M20" s="66"/>
      <c r="N20" s="66"/>
      <c r="O20" s="66"/>
      <c r="P20" s="66"/>
      <c r="Q20" s="66"/>
      <c r="R20" s="25"/>
      <c r="S20" s="36"/>
      <c r="T20" s="53">
        <f t="shared" si="1"/>
        <v>196046.5</v>
      </c>
      <c r="U20" s="42"/>
      <c r="V20" s="42"/>
      <c r="W20" s="42"/>
      <c r="X20" s="42"/>
      <c r="Y20" s="42"/>
    </row>
    <row r="21" ht="15.75" customHeight="1" spans="1:25" x14ac:dyDescent="0.25">
      <c r="A21" s="25"/>
      <c r="B21" s="35">
        <v>1359</v>
      </c>
      <c r="C21" s="25" t="s">
        <v>170</v>
      </c>
      <c r="D21" s="25" t="s">
        <v>1349</v>
      </c>
      <c r="E21" s="53">
        <v>1620</v>
      </c>
      <c r="F21" s="50"/>
      <c r="G21" s="35">
        <v>18</v>
      </c>
      <c r="H21" s="35">
        <v>90</v>
      </c>
      <c r="I21" s="53">
        <v>1620</v>
      </c>
      <c r="J21" s="66"/>
      <c r="K21" s="66"/>
      <c r="L21" s="66"/>
      <c r="M21" s="66"/>
      <c r="N21" s="66"/>
      <c r="O21" s="66"/>
      <c r="P21" s="66"/>
      <c r="Q21" s="66"/>
      <c r="R21" s="25"/>
      <c r="S21" s="36"/>
      <c r="T21" s="53">
        <f t="shared" si="1"/>
        <v>194426.5</v>
      </c>
      <c r="U21" s="42"/>
      <c r="V21" s="42"/>
      <c r="W21" s="42"/>
      <c r="X21" s="42"/>
      <c r="Y21" s="42"/>
    </row>
    <row r="22" ht="15.75" customHeight="1" spans="1:25" x14ac:dyDescent="0.25">
      <c r="A22" s="25"/>
      <c r="B22" s="35">
        <v>1360</v>
      </c>
      <c r="C22" s="25" t="s">
        <v>170</v>
      </c>
      <c r="D22" s="25" t="s">
        <v>1358</v>
      </c>
      <c r="E22" s="53">
        <v>11790</v>
      </c>
      <c r="F22" s="50"/>
      <c r="G22" s="35">
        <v>131</v>
      </c>
      <c r="H22" s="35">
        <v>90</v>
      </c>
      <c r="I22" s="53">
        <v>11790</v>
      </c>
      <c r="J22" s="66"/>
      <c r="K22" s="66"/>
      <c r="L22" s="66"/>
      <c r="M22" s="66"/>
      <c r="N22" s="66"/>
      <c r="O22" s="66"/>
      <c r="P22" s="66"/>
      <c r="Q22" s="66"/>
      <c r="R22" s="25"/>
      <c r="S22" s="36"/>
      <c r="T22" s="53">
        <f t="shared" si="1"/>
        <v>182636.5</v>
      </c>
      <c r="U22" s="42"/>
      <c r="V22" s="42"/>
      <c r="W22" s="42"/>
      <c r="X22" s="42"/>
      <c r="Y22" s="42"/>
    </row>
    <row r="23" ht="15.75" customHeight="1" spans="1:25" x14ac:dyDescent="0.25">
      <c r="A23" s="25"/>
      <c r="B23" s="35">
        <v>1361</v>
      </c>
      <c r="C23" s="25" t="s">
        <v>170</v>
      </c>
      <c r="D23" s="25" t="s">
        <v>728</v>
      </c>
      <c r="E23" s="53">
        <v>5490</v>
      </c>
      <c r="F23" s="50"/>
      <c r="G23" s="35">
        <v>61</v>
      </c>
      <c r="H23" s="35">
        <v>90</v>
      </c>
      <c r="I23" s="53">
        <v>5490</v>
      </c>
      <c r="J23" s="66"/>
      <c r="K23" s="67"/>
      <c r="L23" s="66"/>
      <c r="M23" s="66"/>
      <c r="N23" s="66"/>
      <c r="O23" s="66"/>
      <c r="P23" s="66"/>
      <c r="Q23" s="66"/>
      <c r="R23" s="25"/>
      <c r="S23" s="36"/>
      <c r="T23" s="53">
        <f t="shared" si="1"/>
        <v>177146.5</v>
      </c>
      <c r="U23" s="42"/>
      <c r="V23" s="42"/>
      <c r="W23" s="42"/>
      <c r="X23" s="42"/>
      <c r="Y23" s="42"/>
    </row>
    <row r="24" ht="15.75" customHeight="1" spans="1:25" x14ac:dyDescent="0.25">
      <c r="A24" s="25"/>
      <c r="B24" s="35">
        <v>1362</v>
      </c>
      <c r="C24" s="25" t="s">
        <v>170</v>
      </c>
      <c r="D24" s="25" t="s">
        <v>1359</v>
      </c>
      <c r="E24" s="53">
        <v>5580</v>
      </c>
      <c r="F24" s="50"/>
      <c r="G24" s="35">
        <v>62</v>
      </c>
      <c r="H24" s="35">
        <v>90</v>
      </c>
      <c r="I24" s="53">
        <v>5580</v>
      </c>
      <c r="J24" s="66"/>
      <c r="K24" s="67"/>
      <c r="L24" s="66"/>
      <c r="M24" s="66"/>
      <c r="N24" s="66"/>
      <c r="O24" s="66"/>
      <c r="P24" s="66"/>
      <c r="Q24" s="66"/>
      <c r="R24" s="25"/>
      <c r="S24" s="36"/>
      <c r="T24" s="53">
        <f t="shared" si="1"/>
        <v>171566.5</v>
      </c>
      <c r="U24" s="42"/>
      <c r="V24" s="42"/>
      <c r="W24" s="42"/>
      <c r="X24" s="42"/>
      <c r="Y24" s="42"/>
    </row>
    <row r="25" ht="15.75" customHeight="1" spans="1:25" x14ac:dyDescent="0.25">
      <c r="A25" s="25"/>
      <c r="B25" s="35">
        <v>1363</v>
      </c>
      <c r="C25" s="25" t="s">
        <v>170</v>
      </c>
      <c r="D25" s="25" t="s">
        <v>1360</v>
      </c>
      <c r="E25" s="53">
        <v>1710</v>
      </c>
      <c r="F25" s="50"/>
      <c r="G25" s="35">
        <v>19</v>
      </c>
      <c r="H25" s="35">
        <v>90</v>
      </c>
      <c r="I25" s="53">
        <v>1710</v>
      </c>
      <c r="J25" s="66"/>
      <c r="K25" s="67"/>
      <c r="L25" s="66"/>
      <c r="M25" s="66"/>
      <c r="N25" s="66"/>
      <c r="O25" s="66"/>
      <c r="P25" s="66"/>
      <c r="Q25" s="66"/>
      <c r="R25" s="25"/>
      <c r="S25" s="36"/>
      <c r="T25" s="53">
        <f t="shared" si="1"/>
        <v>169856.5</v>
      </c>
      <c r="U25" s="42"/>
      <c r="V25" s="42"/>
      <c r="W25" s="42"/>
      <c r="X25" s="42"/>
      <c r="Y25" s="42"/>
    </row>
    <row r="26" ht="15.75" customHeight="1" spans="1:25" x14ac:dyDescent="0.25">
      <c r="A26" s="25"/>
      <c r="B26" s="35">
        <v>1364</v>
      </c>
      <c r="C26" s="25" t="s">
        <v>170</v>
      </c>
      <c r="D26" s="25" t="s">
        <v>1351</v>
      </c>
      <c r="E26" s="53">
        <v>3690</v>
      </c>
      <c r="F26" s="50"/>
      <c r="G26" s="35">
        <v>41</v>
      </c>
      <c r="H26" s="35">
        <v>90</v>
      </c>
      <c r="I26" s="53">
        <v>3690</v>
      </c>
      <c r="J26" s="66"/>
      <c r="K26" s="67"/>
      <c r="L26" s="66"/>
      <c r="M26" s="66"/>
      <c r="N26" s="66"/>
      <c r="O26" s="66"/>
      <c r="P26" s="66"/>
      <c r="Q26" s="66"/>
      <c r="R26" s="25"/>
      <c r="S26" s="36"/>
      <c r="T26" s="53">
        <f t="shared" si="1"/>
        <v>166166.5</v>
      </c>
      <c r="U26" s="42"/>
      <c r="V26" s="42"/>
      <c r="W26" s="42"/>
      <c r="X26" s="42"/>
      <c r="Y26" s="42"/>
    </row>
    <row r="27" ht="15.75" customHeight="1" spans="1:25" x14ac:dyDescent="0.25">
      <c r="A27" s="25"/>
      <c r="B27" s="35">
        <v>1365</v>
      </c>
      <c r="C27" s="25" t="s">
        <v>170</v>
      </c>
      <c r="D27" s="25" t="s">
        <v>1361</v>
      </c>
      <c r="E27" s="54">
        <v>1120</v>
      </c>
      <c r="F27" s="50"/>
      <c r="G27" s="35">
        <v>14</v>
      </c>
      <c r="H27" s="35">
        <v>80</v>
      </c>
      <c r="I27" s="53">
        <v>1120</v>
      </c>
      <c r="J27" s="66"/>
      <c r="K27" s="67"/>
      <c r="L27" s="66"/>
      <c r="M27" s="66"/>
      <c r="N27" s="66"/>
      <c r="O27" s="66"/>
      <c r="P27" s="66"/>
      <c r="Q27" s="66"/>
      <c r="R27" s="25"/>
      <c r="S27" s="36"/>
      <c r="T27" s="53">
        <f t="shared" si="1"/>
        <v>165046.5</v>
      </c>
      <c r="U27" s="42"/>
      <c r="V27" s="42"/>
      <c r="W27" s="42"/>
      <c r="X27" s="42"/>
      <c r="Y27" s="42"/>
    </row>
    <row r="28" ht="15.75" customHeight="1" spans="1:25" x14ac:dyDescent="0.25">
      <c r="A28" s="25"/>
      <c r="B28" s="35">
        <v>1366</v>
      </c>
      <c r="C28" s="25" t="s">
        <v>170</v>
      </c>
      <c r="D28" s="25" t="s">
        <v>1200</v>
      </c>
      <c r="E28" s="54">
        <v>6240</v>
      </c>
      <c r="F28" s="50"/>
      <c r="G28" s="35">
        <v>52</v>
      </c>
      <c r="H28" s="35">
        <v>120</v>
      </c>
      <c r="I28" s="53">
        <v>6240</v>
      </c>
      <c r="J28" s="66"/>
      <c r="K28" s="67"/>
      <c r="L28" s="66"/>
      <c r="M28" s="66"/>
      <c r="N28" s="66"/>
      <c r="O28" s="66"/>
      <c r="P28" s="66"/>
      <c r="Q28" s="66"/>
      <c r="R28" s="25"/>
      <c r="S28" s="36"/>
      <c r="T28" s="53">
        <f t="shared" si="1"/>
        <v>158806.5</v>
      </c>
      <c r="U28" s="42"/>
      <c r="V28" s="42"/>
      <c r="W28" s="42"/>
      <c r="X28" s="42"/>
      <c r="Y28" s="42"/>
    </row>
    <row r="29" ht="15.75" customHeight="1" spans="1:25" x14ac:dyDescent="0.25">
      <c r="A29" s="25"/>
      <c r="B29" s="35">
        <v>1367</v>
      </c>
      <c r="C29" s="25" t="s">
        <v>170</v>
      </c>
      <c r="D29" s="25" t="s">
        <v>54</v>
      </c>
      <c r="E29" s="53">
        <v>12120</v>
      </c>
      <c r="F29" s="50"/>
      <c r="G29" s="35">
        <v>101</v>
      </c>
      <c r="H29" s="35">
        <v>120</v>
      </c>
      <c r="I29" s="53">
        <v>12120</v>
      </c>
      <c r="J29" s="66"/>
      <c r="K29" s="67"/>
      <c r="L29" s="66"/>
      <c r="M29" s="66"/>
      <c r="N29" s="66"/>
      <c r="O29" s="66"/>
      <c r="P29" s="66"/>
      <c r="Q29" s="66"/>
      <c r="R29" s="25"/>
      <c r="S29" s="36"/>
      <c r="T29" s="53">
        <f t="shared" si="1"/>
        <v>146686.5</v>
      </c>
      <c r="U29" s="42"/>
      <c r="V29" s="42"/>
      <c r="W29" s="42"/>
      <c r="X29" s="42"/>
      <c r="Y29" s="42"/>
    </row>
    <row r="30" ht="15.75" customHeight="1" spans="1:25" x14ac:dyDescent="0.25">
      <c r="A30" s="25"/>
      <c r="B30" s="35">
        <v>1368</v>
      </c>
      <c r="C30" s="25" t="s">
        <v>170</v>
      </c>
      <c r="D30" s="25" t="s">
        <v>200</v>
      </c>
      <c r="E30" s="53">
        <v>69840</v>
      </c>
      <c r="F30" s="50"/>
      <c r="G30" s="35">
        <v>582</v>
      </c>
      <c r="H30" s="35">
        <v>120</v>
      </c>
      <c r="I30" s="53">
        <v>69840</v>
      </c>
      <c r="J30" s="66"/>
      <c r="K30" s="66"/>
      <c r="L30" s="66"/>
      <c r="M30" s="66"/>
      <c r="N30" s="66"/>
      <c r="O30" s="66"/>
      <c r="P30" s="66"/>
      <c r="Q30" s="66"/>
      <c r="R30" s="25"/>
      <c r="S30" s="36"/>
      <c r="T30" s="53">
        <f t="shared" si="1"/>
        <v>76846.5</v>
      </c>
      <c r="U30" s="42"/>
      <c r="V30" s="42"/>
      <c r="W30" s="42"/>
      <c r="X30" s="42"/>
      <c r="Y30" s="42"/>
    </row>
    <row r="31" ht="15.75" customHeight="1" spans="1:25" x14ac:dyDescent="0.25">
      <c r="A31" s="25"/>
      <c r="B31" s="35">
        <v>1369</v>
      </c>
      <c r="C31" s="25" t="s">
        <v>1362</v>
      </c>
      <c r="D31" s="23"/>
      <c r="E31" s="54">
        <v>150</v>
      </c>
      <c r="F31" s="50"/>
      <c r="G31" s="25"/>
      <c r="H31" s="25"/>
      <c r="I31" s="53"/>
      <c r="J31" s="66"/>
      <c r="K31" s="66"/>
      <c r="L31" s="66"/>
      <c r="M31" s="66"/>
      <c r="N31" s="66"/>
      <c r="O31" s="66"/>
      <c r="P31" s="66">
        <v>150</v>
      </c>
      <c r="Q31" s="66"/>
      <c r="R31" s="25"/>
      <c r="S31" s="36"/>
      <c r="T31" s="53">
        <f t="shared" si="1"/>
        <v>76696.5</v>
      </c>
      <c r="U31" s="42"/>
      <c r="V31" s="42"/>
      <c r="W31" s="42"/>
      <c r="X31" s="42"/>
      <c r="Y31" s="42"/>
    </row>
    <row r="32" ht="15.75" customHeight="1" spans="1:25" x14ac:dyDescent="0.25">
      <c r="A32" s="25"/>
      <c r="B32" s="35">
        <v>1370</v>
      </c>
      <c r="C32" s="25" t="s">
        <v>1355</v>
      </c>
      <c r="D32" s="23"/>
      <c r="E32" s="54">
        <v>150</v>
      </c>
      <c r="F32" s="50"/>
      <c r="G32" s="25"/>
      <c r="H32" s="25"/>
      <c r="I32" s="53"/>
      <c r="J32" s="66"/>
      <c r="K32" s="66"/>
      <c r="L32" s="66"/>
      <c r="M32" s="66"/>
      <c r="N32" s="66"/>
      <c r="O32" s="66"/>
      <c r="P32" s="66">
        <v>150</v>
      </c>
      <c r="Q32" s="66"/>
      <c r="R32" s="25"/>
      <c r="S32" s="36"/>
      <c r="T32" s="53">
        <f t="shared" si="1"/>
        <v>76546.5</v>
      </c>
      <c r="U32" s="42"/>
      <c r="V32" s="42"/>
      <c r="W32" s="42"/>
      <c r="X32" s="42"/>
      <c r="Y32" s="42"/>
    </row>
    <row r="33" ht="15.75" customHeight="1" spans="1:25" x14ac:dyDescent="0.25">
      <c r="A33" s="25" t="s">
        <v>1363</v>
      </c>
      <c r="B33" s="35">
        <v>1371</v>
      </c>
      <c r="C33" s="25" t="s">
        <v>170</v>
      </c>
      <c r="D33" s="25" t="s">
        <v>54</v>
      </c>
      <c r="E33" s="53">
        <v>6000</v>
      </c>
      <c r="F33" s="50"/>
      <c r="G33" s="35">
        <v>60</v>
      </c>
      <c r="H33" s="35">
        <v>100</v>
      </c>
      <c r="I33" s="53">
        <v>6000</v>
      </c>
      <c r="J33" s="66"/>
      <c r="K33" s="66"/>
      <c r="L33" s="66"/>
      <c r="M33" s="66"/>
      <c r="N33" s="66"/>
      <c r="O33" s="66"/>
      <c r="P33" s="66"/>
      <c r="Q33" s="67"/>
      <c r="R33" s="25"/>
      <c r="S33" s="36"/>
      <c r="T33" s="53">
        <f t="shared" si="1"/>
        <v>70546.5</v>
      </c>
      <c r="U33" s="42"/>
      <c r="V33" s="42"/>
      <c r="W33" s="42"/>
      <c r="X33" s="42"/>
      <c r="Y33" s="42"/>
    </row>
    <row r="34" ht="15.75" customHeight="1" spans="1:25" x14ac:dyDescent="0.25">
      <c r="A34" s="25"/>
      <c r="B34" s="35">
        <v>1372</v>
      </c>
      <c r="C34" s="25" t="s">
        <v>170</v>
      </c>
      <c r="D34" s="25" t="s">
        <v>1308</v>
      </c>
      <c r="E34" s="53">
        <v>400</v>
      </c>
      <c r="F34" s="50"/>
      <c r="G34" s="35">
        <v>4</v>
      </c>
      <c r="H34" s="35">
        <v>100</v>
      </c>
      <c r="I34" s="53">
        <v>400</v>
      </c>
      <c r="J34" s="66"/>
      <c r="K34" s="66"/>
      <c r="L34" s="66"/>
      <c r="M34" s="66"/>
      <c r="N34" s="66"/>
      <c r="O34" s="66"/>
      <c r="P34" s="67"/>
      <c r="Q34" s="66"/>
      <c r="R34" s="25"/>
      <c r="S34" s="36"/>
      <c r="T34" s="53">
        <f t="shared" si="1"/>
        <v>70146.5</v>
      </c>
      <c r="U34" s="42"/>
      <c r="V34" s="42"/>
      <c r="W34" s="42"/>
      <c r="X34" s="42"/>
      <c r="Y34" s="42"/>
    </row>
    <row r="35" ht="15.75" customHeight="1" spans="1:25" x14ac:dyDescent="0.25">
      <c r="A35" s="25"/>
      <c r="B35" s="35">
        <v>1373</v>
      </c>
      <c r="C35" s="25" t="s">
        <v>170</v>
      </c>
      <c r="D35" s="25" t="s">
        <v>54</v>
      </c>
      <c r="E35" s="53">
        <v>3700</v>
      </c>
      <c r="F35" s="50"/>
      <c r="G35" s="35">
        <v>37</v>
      </c>
      <c r="H35" s="35">
        <v>100</v>
      </c>
      <c r="I35" s="53">
        <v>3700</v>
      </c>
      <c r="J35" s="66"/>
      <c r="K35" s="66"/>
      <c r="L35" s="66"/>
      <c r="M35" s="66"/>
      <c r="N35" s="66"/>
      <c r="O35" s="66"/>
      <c r="P35" s="66"/>
      <c r="Q35" s="66"/>
      <c r="R35" s="25"/>
      <c r="S35" s="36"/>
      <c r="T35" s="53">
        <f t="shared" si="1"/>
        <v>66446.5</v>
      </c>
      <c r="U35" s="42"/>
      <c r="V35" s="42"/>
      <c r="W35" s="42"/>
      <c r="X35" s="42"/>
      <c r="Y35" s="42"/>
    </row>
    <row r="36" ht="15.75" customHeight="1" spans="1:25" x14ac:dyDescent="0.25">
      <c r="A36" s="25"/>
      <c r="B36" s="35">
        <v>1374</v>
      </c>
      <c r="C36" s="25" t="s">
        <v>170</v>
      </c>
      <c r="D36" s="25" t="s">
        <v>1364</v>
      </c>
      <c r="E36" s="53">
        <v>2700</v>
      </c>
      <c r="F36" s="50"/>
      <c r="G36" s="35">
        <v>30</v>
      </c>
      <c r="H36" s="35">
        <v>90</v>
      </c>
      <c r="I36" s="53">
        <v>2700</v>
      </c>
      <c r="J36" s="66"/>
      <c r="K36" s="66"/>
      <c r="L36" s="66"/>
      <c r="M36" s="66"/>
      <c r="N36" s="66"/>
      <c r="O36" s="66"/>
      <c r="P36" s="66"/>
      <c r="Q36" s="66"/>
      <c r="R36" s="25"/>
      <c r="S36" s="36"/>
      <c r="T36" s="53">
        <f t="shared" si="1"/>
        <v>63746.5</v>
      </c>
      <c r="U36" s="42"/>
      <c r="V36" s="42"/>
      <c r="W36" s="42"/>
      <c r="X36" s="42"/>
      <c r="Y36" s="42"/>
    </row>
    <row r="37" ht="15.75" customHeight="1" spans="1:25" x14ac:dyDescent="0.25">
      <c r="A37" s="25"/>
      <c r="B37" s="35">
        <v>1375</v>
      </c>
      <c r="C37" s="25" t="s">
        <v>170</v>
      </c>
      <c r="D37" s="25" t="s">
        <v>1365</v>
      </c>
      <c r="E37" s="53">
        <v>2970</v>
      </c>
      <c r="F37" s="50"/>
      <c r="G37" s="35">
        <v>33</v>
      </c>
      <c r="H37" s="35">
        <v>90</v>
      </c>
      <c r="I37" s="53">
        <v>2970</v>
      </c>
      <c r="J37" s="66"/>
      <c r="K37" s="66"/>
      <c r="L37" s="66"/>
      <c r="M37" s="66"/>
      <c r="N37" s="66"/>
      <c r="O37" s="66"/>
      <c r="P37" s="66"/>
      <c r="Q37" s="66"/>
      <c r="R37" s="25"/>
      <c r="S37" s="36"/>
      <c r="T37" s="53">
        <f t="shared" si="1"/>
        <v>60776.5</v>
      </c>
      <c r="U37" s="42"/>
      <c r="V37" s="42"/>
      <c r="W37" s="42"/>
      <c r="X37" s="42"/>
      <c r="Y37" s="42"/>
    </row>
    <row r="38" ht="15.75" customHeight="1" spans="1:25" x14ac:dyDescent="0.25">
      <c r="A38" s="25"/>
      <c r="B38" s="35">
        <v>1376</v>
      </c>
      <c r="C38" s="25" t="s">
        <v>1366</v>
      </c>
      <c r="D38" s="23" t="s">
        <v>1367</v>
      </c>
      <c r="E38" s="54">
        <v>30000</v>
      </c>
      <c r="F38" s="50"/>
      <c r="G38" s="25"/>
      <c r="H38" s="25"/>
      <c r="I38" s="53"/>
      <c r="J38" s="66"/>
      <c r="K38" s="66">
        <v>30000</v>
      </c>
      <c r="L38" s="66"/>
      <c r="M38" s="66"/>
      <c r="N38" s="66"/>
      <c r="O38" s="66"/>
      <c r="P38" s="66"/>
      <c r="Q38" s="66"/>
      <c r="R38" s="25"/>
      <c r="S38" s="36"/>
      <c r="T38" s="53">
        <f t="shared" si="1"/>
        <v>30776.5</v>
      </c>
      <c r="U38" s="42"/>
      <c r="V38" s="42"/>
      <c r="W38" s="42"/>
      <c r="X38" s="42"/>
      <c r="Y38" s="42"/>
    </row>
    <row r="39" ht="15.75" customHeight="1" spans="1:25" x14ac:dyDescent="0.25">
      <c r="A39" s="25"/>
      <c r="B39" s="35">
        <v>1377</v>
      </c>
      <c r="C39" s="25" t="s">
        <v>1368</v>
      </c>
      <c r="D39" s="23" t="s">
        <v>28</v>
      </c>
      <c r="E39" s="54">
        <v>840</v>
      </c>
      <c r="F39" s="50"/>
      <c r="G39" s="25"/>
      <c r="H39" s="25"/>
      <c r="I39" s="53"/>
      <c r="J39" s="66"/>
      <c r="K39" s="66"/>
      <c r="L39" s="66"/>
      <c r="M39" s="66"/>
      <c r="N39" s="66"/>
      <c r="O39" s="66">
        <v>840</v>
      </c>
      <c r="P39" s="66"/>
      <c r="Q39" s="66"/>
      <c r="R39" s="25"/>
      <c r="S39" s="36"/>
      <c r="T39" s="53">
        <f t="shared" si="1"/>
        <v>29936.5</v>
      </c>
      <c r="U39" s="42"/>
      <c r="V39" s="42"/>
      <c r="W39" s="42"/>
      <c r="X39" s="42"/>
      <c r="Y39" s="42"/>
    </row>
    <row r="40" ht="15.75" customHeight="1" spans="1:25" x14ac:dyDescent="0.25">
      <c r="A40" s="25"/>
      <c r="B40" s="35">
        <v>1378</v>
      </c>
      <c r="C40" s="25" t="s">
        <v>1354</v>
      </c>
      <c r="D40" s="23" t="s">
        <v>119</v>
      </c>
      <c r="E40" s="54">
        <v>1400</v>
      </c>
      <c r="F40" s="50"/>
      <c r="G40" s="25"/>
      <c r="H40" s="25"/>
      <c r="I40" s="53"/>
      <c r="J40" s="66"/>
      <c r="K40" s="66"/>
      <c r="L40" s="66"/>
      <c r="M40" s="66">
        <v>1400</v>
      </c>
      <c r="N40" s="66"/>
      <c r="O40" s="66"/>
      <c r="P40" s="67"/>
      <c r="Q40" s="66"/>
      <c r="R40" s="25"/>
      <c r="S40" s="36"/>
      <c r="T40" s="53">
        <f t="shared" si="1"/>
        <v>28536.5</v>
      </c>
      <c r="U40" s="42"/>
      <c r="V40" s="42"/>
      <c r="W40" s="42"/>
      <c r="X40" s="42"/>
      <c r="Y40" s="42"/>
    </row>
    <row r="41" ht="15.75" customHeight="1" spans="1:25" x14ac:dyDescent="0.25">
      <c r="A41" s="25"/>
      <c r="B41" s="35">
        <v>1379</v>
      </c>
      <c r="C41" s="25" t="s">
        <v>1355</v>
      </c>
      <c r="D41" s="23" t="s">
        <v>1342</v>
      </c>
      <c r="E41" s="54">
        <v>320</v>
      </c>
      <c r="F41" s="50"/>
      <c r="G41" s="25"/>
      <c r="H41" s="25"/>
      <c r="I41" s="53"/>
      <c r="J41" s="66"/>
      <c r="K41" s="66"/>
      <c r="L41" s="66"/>
      <c r="M41" s="67"/>
      <c r="N41" s="66"/>
      <c r="O41" s="66"/>
      <c r="P41" s="66">
        <v>320</v>
      </c>
      <c r="Q41" s="66"/>
      <c r="R41" s="25"/>
      <c r="S41" s="36"/>
      <c r="T41" s="53">
        <f t="shared" si="1"/>
        <v>28216.5</v>
      </c>
      <c r="U41" s="42"/>
      <c r="V41" s="42"/>
      <c r="W41" s="42"/>
      <c r="X41" s="42"/>
      <c r="Y41" s="42"/>
    </row>
    <row r="42" ht="15.75" customHeight="1" spans="1:25" x14ac:dyDescent="0.25">
      <c r="A42" s="25"/>
      <c r="B42" s="35">
        <v>1380</v>
      </c>
      <c r="C42" s="25" t="s">
        <v>1369</v>
      </c>
      <c r="D42" s="23" t="s">
        <v>1370</v>
      </c>
      <c r="E42" s="54">
        <v>1600</v>
      </c>
      <c r="F42" s="50"/>
      <c r="G42" s="25"/>
      <c r="H42" s="25"/>
      <c r="I42" s="53"/>
      <c r="J42" s="66"/>
      <c r="K42" s="66"/>
      <c r="L42" s="66"/>
      <c r="M42" s="66"/>
      <c r="N42" s="66"/>
      <c r="O42" s="66"/>
      <c r="P42" s="66">
        <v>1600</v>
      </c>
      <c r="Q42" s="66"/>
      <c r="R42" s="25"/>
      <c r="S42" s="36"/>
      <c r="T42" s="53">
        <f t="shared" si="1"/>
        <v>26616.5</v>
      </c>
      <c r="U42" s="42"/>
      <c r="V42" s="42"/>
      <c r="W42" s="42"/>
      <c r="X42" s="42"/>
      <c r="Y42" s="42"/>
    </row>
    <row r="43" ht="15.75" customHeight="1" spans="1:25" x14ac:dyDescent="0.25">
      <c r="A43" s="25"/>
      <c r="B43" s="35"/>
      <c r="C43" s="25" t="s">
        <v>1372</v>
      </c>
      <c r="D43" s="23"/>
      <c r="E43" s="54"/>
      <c r="F43" s="68">
        <v>79000</v>
      </c>
      <c r="G43" s="25"/>
      <c r="H43" s="25"/>
      <c r="I43" s="53"/>
      <c r="J43" s="66"/>
      <c r="K43" s="66"/>
      <c r="L43" s="66"/>
      <c r="M43" s="66"/>
      <c r="N43" s="66"/>
      <c r="O43" s="66"/>
      <c r="P43" s="66"/>
      <c r="Q43" s="66"/>
      <c r="R43" s="25"/>
      <c r="S43" s="36"/>
      <c r="T43" s="53">
        <f>T42-E43+79000</f>
        <v>105616.5</v>
      </c>
      <c r="U43" s="42"/>
      <c r="V43" s="42"/>
      <c r="W43" s="42"/>
      <c r="X43" s="42"/>
      <c r="Y43" s="42"/>
    </row>
    <row r="44" ht="15.75" customHeight="1" spans="1:25" x14ac:dyDescent="0.25">
      <c r="A44" s="25" t="s">
        <v>1371</v>
      </c>
      <c r="B44" s="35"/>
      <c r="C44" s="25" t="s">
        <v>1372</v>
      </c>
      <c r="D44" s="23"/>
      <c r="E44" s="54"/>
      <c r="F44" s="68">
        <v>79000</v>
      </c>
      <c r="G44" s="25"/>
      <c r="H44" s="25"/>
      <c r="I44" s="53"/>
      <c r="J44" s="66"/>
      <c r="K44" s="66"/>
      <c r="L44" s="66"/>
      <c r="M44" s="66"/>
      <c r="N44" s="66"/>
      <c r="O44" s="66"/>
      <c r="P44" s="66"/>
      <c r="Q44" s="66"/>
      <c r="R44" s="25"/>
      <c r="S44" s="36"/>
      <c r="T44" s="53">
        <f t="shared" ref="T44:T100" si="2">T43-E44</f>
        <v>105616.5</v>
      </c>
      <c r="U44" s="42"/>
      <c r="V44" s="42"/>
      <c r="W44" s="42"/>
      <c r="X44" s="42"/>
      <c r="Y44" s="42"/>
    </row>
    <row r="45" ht="15.75" customHeight="1" spans="1:25" x14ac:dyDescent="0.25">
      <c r="A45" s="25"/>
      <c r="B45" s="35">
        <v>1380</v>
      </c>
      <c r="C45" s="25" t="s">
        <v>170</v>
      </c>
      <c r="D45" s="23" t="s">
        <v>1200</v>
      </c>
      <c r="E45" s="54">
        <v>2000</v>
      </c>
      <c r="F45" s="50"/>
      <c r="G45" s="35">
        <v>20</v>
      </c>
      <c r="H45" s="35">
        <v>100</v>
      </c>
      <c r="I45" s="53">
        <v>2000</v>
      </c>
      <c r="J45" s="66"/>
      <c r="K45" s="66"/>
      <c r="L45" s="66"/>
      <c r="M45" s="66"/>
      <c r="N45" s="66"/>
      <c r="O45" s="66"/>
      <c r="P45" s="66"/>
      <c r="Q45" s="66"/>
      <c r="R45" s="25"/>
      <c r="S45" s="36"/>
      <c r="T45" s="53">
        <f t="shared" si="2"/>
        <v>103616.5</v>
      </c>
      <c r="U45" s="42"/>
      <c r="V45" s="42"/>
      <c r="W45" s="42"/>
      <c r="X45" s="42"/>
      <c r="Y45" s="42"/>
    </row>
    <row r="46" ht="15.75" customHeight="1" spans="1:25" x14ac:dyDescent="0.25">
      <c r="A46" s="25"/>
      <c r="B46" s="35"/>
      <c r="C46" s="25" t="s">
        <v>1373</v>
      </c>
      <c r="D46" s="23" t="s">
        <v>1374</v>
      </c>
      <c r="E46" s="80">
        <v>25000</v>
      </c>
      <c r="F46" s="50"/>
      <c r="G46" s="35"/>
      <c r="H46" s="35"/>
      <c r="I46" s="53">
        <v>0</v>
      </c>
      <c r="J46" s="66"/>
      <c r="L46" s="66"/>
      <c r="M46" s="66"/>
      <c r="N46" s="66"/>
      <c r="O46" s="66"/>
      <c r="P46" s="66"/>
      <c r="Q46" s="66"/>
      <c r="R46" s="25"/>
      <c r="S46" s="36"/>
      <c r="T46" s="53">
        <f t="shared" si="2"/>
        <v>78616.5</v>
      </c>
      <c r="U46" s="42"/>
      <c r="V46" s="42"/>
      <c r="W46" s="42"/>
      <c r="X46" s="42"/>
      <c r="Y46" s="42"/>
    </row>
    <row r="47" ht="15.75" customHeight="1" spans="1:25" x14ac:dyDescent="0.25">
      <c r="A47" s="25"/>
      <c r="B47" s="35">
        <v>1381</v>
      </c>
      <c r="C47" s="25" t="s">
        <v>1375</v>
      </c>
      <c r="D47" s="25" t="s">
        <v>1376</v>
      </c>
      <c r="E47" s="53">
        <v>19000</v>
      </c>
      <c r="F47" s="50"/>
      <c r="G47" s="35"/>
      <c r="H47" s="25"/>
      <c r="I47" s="53"/>
      <c r="J47" s="66"/>
      <c r="K47" s="66"/>
      <c r="L47" s="66"/>
      <c r="M47" s="66">
        <v>19000</v>
      </c>
      <c r="N47" s="66"/>
      <c r="O47" s="66"/>
      <c r="P47" s="66"/>
      <c r="Q47" s="66"/>
      <c r="R47" s="25"/>
      <c r="S47" s="36"/>
      <c r="T47" s="53">
        <f t="shared" si="2"/>
        <v>59616.5</v>
      </c>
      <c r="U47" s="42"/>
      <c r="V47" s="42"/>
      <c r="W47" s="42"/>
      <c r="X47" s="42"/>
      <c r="Y47" s="42"/>
    </row>
    <row r="48" ht="15.75" customHeight="1" spans="1:25" x14ac:dyDescent="0.25">
      <c r="A48" s="25"/>
      <c r="B48" s="35">
        <v>1382</v>
      </c>
      <c r="C48" s="25" t="s">
        <v>1377</v>
      </c>
      <c r="D48" s="25" t="s">
        <v>385</v>
      </c>
      <c r="E48" s="53">
        <v>500</v>
      </c>
      <c r="F48" s="50"/>
      <c r="G48" s="35"/>
      <c r="H48" s="35"/>
      <c r="I48" s="53"/>
      <c r="J48" s="66"/>
      <c r="K48" s="66"/>
      <c r="L48" s="66"/>
      <c r="M48" s="66"/>
      <c r="N48" s="66"/>
      <c r="O48" s="66"/>
      <c r="P48" s="66">
        <v>500</v>
      </c>
      <c r="Q48" s="66"/>
      <c r="R48" s="25"/>
      <c r="S48" s="36"/>
      <c r="T48" s="53">
        <f t="shared" si="2"/>
        <v>59116.5</v>
      </c>
      <c r="U48" s="42"/>
      <c r="V48" s="42"/>
      <c r="W48" s="42"/>
      <c r="X48" s="42"/>
      <c r="Y48" s="42"/>
    </row>
    <row r="49" ht="15.75" customHeight="1" spans="1:25" x14ac:dyDescent="0.25">
      <c r="A49" s="25"/>
      <c r="B49" s="35">
        <v>1383</v>
      </c>
      <c r="C49" s="25" t="s">
        <v>1378</v>
      </c>
      <c r="D49" s="25" t="s">
        <v>1379</v>
      </c>
      <c r="E49" s="53">
        <v>1400</v>
      </c>
      <c r="F49" s="50"/>
      <c r="G49" s="35"/>
      <c r="H49" s="35"/>
      <c r="I49" s="53"/>
      <c r="J49" s="66"/>
      <c r="K49" s="66"/>
      <c r="L49" s="66"/>
      <c r="M49" s="66"/>
      <c r="N49" s="66"/>
      <c r="O49" s="66"/>
      <c r="P49" s="66">
        <v>1400</v>
      </c>
      <c r="Q49" s="66"/>
      <c r="R49" s="25"/>
      <c r="S49" s="36"/>
      <c r="T49" s="53">
        <f t="shared" si="2"/>
        <v>57716.5</v>
      </c>
      <c r="U49" s="42"/>
      <c r="V49" s="42"/>
      <c r="W49" s="42"/>
      <c r="X49" s="42"/>
      <c r="Y49" s="42"/>
    </row>
    <row r="50" ht="15.75" customHeight="1" spans="1:25" x14ac:dyDescent="0.25">
      <c r="A50" s="25"/>
      <c r="B50" s="35">
        <v>1384</v>
      </c>
      <c r="C50" s="25" t="s">
        <v>1380</v>
      </c>
      <c r="D50" s="25" t="s">
        <v>1381</v>
      </c>
      <c r="E50" s="53">
        <v>600</v>
      </c>
      <c r="F50" s="50"/>
      <c r="G50" s="35"/>
      <c r="H50" s="35"/>
      <c r="I50" s="53"/>
      <c r="J50" s="66"/>
      <c r="K50" s="66"/>
      <c r="L50" s="66"/>
      <c r="M50" s="66"/>
      <c r="N50" s="66"/>
      <c r="O50" s="66"/>
      <c r="P50" s="66">
        <v>600</v>
      </c>
      <c r="Q50" s="66"/>
      <c r="R50" s="25"/>
      <c r="S50" s="36"/>
      <c r="T50" s="53">
        <f t="shared" si="2"/>
        <v>57116.5</v>
      </c>
      <c r="U50" s="42"/>
      <c r="V50" s="42"/>
      <c r="W50" s="42"/>
      <c r="X50" s="42"/>
      <c r="Y50" s="42"/>
    </row>
    <row r="51" ht="15.75" customHeight="1" spans="1:25" x14ac:dyDescent="0.25">
      <c r="A51" s="25"/>
      <c r="B51" s="35">
        <v>1385</v>
      </c>
      <c r="C51" s="25" t="s">
        <v>1382</v>
      </c>
      <c r="D51" s="25" t="s">
        <v>1383</v>
      </c>
      <c r="E51" s="53">
        <v>2400</v>
      </c>
      <c r="F51" s="50"/>
      <c r="G51" s="35"/>
      <c r="H51" s="35"/>
      <c r="I51" s="53"/>
      <c r="J51" s="66"/>
      <c r="K51" s="66"/>
      <c r="L51" s="66"/>
      <c r="M51" s="66"/>
      <c r="N51" s="66"/>
      <c r="O51" s="66"/>
      <c r="P51" s="66">
        <v>2400</v>
      </c>
      <c r="Q51" s="66"/>
      <c r="R51" s="25"/>
      <c r="S51" s="36"/>
      <c r="T51" s="53">
        <f t="shared" si="2"/>
        <v>54716.5</v>
      </c>
      <c r="U51" s="42"/>
      <c r="V51" s="42"/>
      <c r="W51" s="42"/>
      <c r="X51" s="42"/>
      <c r="Y51" s="42"/>
    </row>
    <row r="52" ht="15.75" customHeight="1" spans="1:25" x14ac:dyDescent="0.25">
      <c r="A52" s="25"/>
      <c r="B52" s="35">
        <v>1386</v>
      </c>
      <c r="C52" s="25" t="s">
        <v>1384</v>
      </c>
      <c r="D52" s="25"/>
      <c r="E52" s="53">
        <v>300</v>
      </c>
      <c r="F52" s="50"/>
      <c r="G52" s="25"/>
      <c r="H52" s="25"/>
      <c r="I52" s="65"/>
      <c r="J52" s="66"/>
      <c r="K52" s="66"/>
      <c r="L52" s="66"/>
      <c r="M52" s="66"/>
      <c r="N52" s="66"/>
      <c r="O52" s="66"/>
      <c r="P52" s="66">
        <v>300</v>
      </c>
      <c r="Q52" s="66"/>
      <c r="R52" s="25"/>
      <c r="S52" s="36"/>
      <c r="T52" s="53">
        <f t="shared" si="2"/>
        <v>54416.5</v>
      </c>
      <c r="U52" s="42"/>
      <c r="V52" s="42"/>
      <c r="W52" s="42"/>
      <c r="X52" s="42"/>
      <c r="Y52" s="42"/>
    </row>
    <row r="53" ht="15.75" customHeight="1" spans="1:25" x14ac:dyDescent="0.25">
      <c r="A53" s="25"/>
      <c r="B53" s="35">
        <v>1387</v>
      </c>
      <c r="C53" s="25" t="s">
        <v>170</v>
      </c>
      <c r="D53" s="25" t="s">
        <v>1200</v>
      </c>
      <c r="E53" s="53">
        <v>2000</v>
      </c>
      <c r="F53" s="50"/>
      <c r="G53" s="35">
        <v>20</v>
      </c>
      <c r="H53" s="35">
        <v>100</v>
      </c>
      <c r="I53" s="53">
        <v>2000</v>
      </c>
      <c r="J53" s="66"/>
      <c r="K53" s="66"/>
      <c r="L53" s="66"/>
      <c r="M53" s="66"/>
      <c r="N53" s="66"/>
      <c r="O53" s="66"/>
      <c r="P53" s="66"/>
      <c r="Q53" s="66"/>
      <c r="R53" s="25"/>
      <c r="S53" s="36"/>
      <c r="T53" s="53">
        <f t="shared" si="2"/>
        <v>52416.5</v>
      </c>
      <c r="U53" s="42"/>
      <c r="V53" s="42"/>
      <c r="W53" s="42"/>
      <c r="X53" s="42"/>
      <c r="Y53" s="42"/>
    </row>
    <row r="54" ht="15.75" customHeight="1" spans="1:25" x14ac:dyDescent="0.25">
      <c r="A54" s="25" t="s">
        <v>1385</v>
      </c>
      <c r="B54" s="35">
        <v>1388</v>
      </c>
      <c r="C54" s="25" t="s">
        <v>1386</v>
      </c>
      <c r="D54" s="25" t="s">
        <v>1387</v>
      </c>
      <c r="E54" s="53">
        <v>1000</v>
      </c>
      <c r="F54" s="50"/>
      <c r="G54" s="25"/>
      <c r="H54" s="25"/>
      <c r="I54" s="65"/>
      <c r="J54" s="66"/>
      <c r="K54" s="66"/>
      <c r="L54" s="66"/>
      <c r="M54" s="66"/>
      <c r="N54" s="66">
        <v>1000</v>
      </c>
      <c r="O54" s="66"/>
      <c r="P54" s="66"/>
      <c r="Q54" s="66"/>
      <c r="R54" s="25"/>
      <c r="S54" s="36"/>
      <c r="T54" s="53">
        <f t="shared" si="2"/>
        <v>51416.5</v>
      </c>
      <c r="U54" s="42"/>
      <c r="V54" s="42"/>
      <c r="W54" s="42"/>
      <c r="X54" s="42"/>
      <c r="Y54" s="42"/>
    </row>
    <row r="55" ht="15.75" customHeight="1" spans="1:25" x14ac:dyDescent="0.25">
      <c r="A55" s="25"/>
      <c r="B55" s="35">
        <v>1389</v>
      </c>
      <c r="C55" s="25" t="s">
        <v>1388</v>
      </c>
      <c r="D55" s="25" t="s">
        <v>1387</v>
      </c>
      <c r="E55" s="53">
        <v>120</v>
      </c>
      <c r="F55" s="50"/>
      <c r="G55" s="25"/>
      <c r="H55" s="25"/>
      <c r="I55" s="65"/>
      <c r="J55" s="66"/>
      <c r="K55" s="66"/>
      <c r="L55" s="66"/>
      <c r="M55" s="66"/>
      <c r="N55" s="66">
        <v>120</v>
      </c>
      <c r="O55" s="66"/>
      <c r="P55" s="66"/>
      <c r="Q55" s="66"/>
      <c r="R55" s="25"/>
      <c r="S55" s="36"/>
      <c r="T55" s="53">
        <f t="shared" si="2"/>
        <v>51296.5</v>
      </c>
      <c r="U55" s="42"/>
      <c r="V55" s="42"/>
      <c r="W55" s="42"/>
      <c r="X55" s="42"/>
      <c r="Y55" s="42"/>
    </row>
    <row r="56" ht="15.75" customHeight="1" spans="1:25" x14ac:dyDescent="0.25">
      <c r="A56" s="25"/>
      <c r="B56" s="35">
        <v>1390</v>
      </c>
      <c r="C56" s="23" t="s">
        <v>1389</v>
      </c>
      <c r="D56" s="25" t="s">
        <v>1390</v>
      </c>
      <c r="E56" s="53">
        <v>200</v>
      </c>
      <c r="F56" s="50"/>
      <c r="G56" s="25"/>
      <c r="H56" s="25"/>
      <c r="I56" s="65"/>
      <c r="J56" s="66"/>
      <c r="K56" s="66"/>
      <c r="L56" s="66"/>
      <c r="M56" s="66"/>
      <c r="N56" s="66">
        <v>200</v>
      </c>
      <c r="O56" s="66"/>
      <c r="P56" s="66"/>
      <c r="Q56" s="66"/>
      <c r="R56" s="25"/>
      <c r="S56" s="36"/>
      <c r="T56" s="53">
        <f t="shared" si="2"/>
        <v>51096.5</v>
      </c>
      <c r="U56" s="42"/>
      <c r="V56" s="42"/>
      <c r="W56" s="42"/>
      <c r="X56" s="42"/>
      <c r="Y56" s="42"/>
    </row>
    <row r="57" ht="15.75" customHeight="1" spans="1:25" x14ac:dyDescent="0.25">
      <c r="A57" s="25"/>
      <c r="B57" s="35">
        <v>1391</v>
      </c>
      <c r="C57" s="25" t="s">
        <v>1391</v>
      </c>
      <c r="D57" s="25" t="s">
        <v>1392</v>
      </c>
      <c r="E57" s="53">
        <v>1000</v>
      </c>
      <c r="F57" s="50"/>
      <c r="G57" s="25"/>
      <c r="H57" s="25"/>
      <c r="I57" s="65"/>
      <c r="J57" s="66"/>
      <c r="K57" s="66"/>
      <c r="L57" s="66"/>
      <c r="M57" s="66"/>
      <c r="N57" s="66">
        <v>1000</v>
      </c>
      <c r="O57" s="66"/>
      <c r="P57" s="66"/>
      <c r="Q57" s="66"/>
      <c r="R57" s="25"/>
      <c r="S57" s="36"/>
      <c r="T57" s="53">
        <f t="shared" si="2"/>
        <v>50096.5</v>
      </c>
      <c r="U57" s="42"/>
      <c r="V57" s="42"/>
      <c r="W57" s="42"/>
      <c r="X57" s="42"/>
      <c r="Y57" s="42"/>
    </row>
    <row r="58" ht="15.75" customHeight="1" spans="1:25" x14ac:dyDescent="0.25">
      <c r="A58" s="25"/>
      <c r="B58" s="35">
        <v>1392</v>
      </c>
      <c r="C58" s="25" t="s">
        <v>661</v>
      </c>
      <c r="D58" s="25" t="s">
        <v>119</v>
      </c>
      <c r="E58" s="53">
        <v>2500</v>
      </c>
      <c r="F58" s="50"/>
      <c r="G58" s="25"/>
      <c r="H58" s="25"/>
      <c r="I58" s="65"/>
      <c r="J58" s="66"/>
      <c r="K58" s="66"/>
      <c r="L58" s="66"/>
      <c r="M58" s="66">
        <v>2500</v>
      </c>
      <c r="N58" s="66"/>
      <c r="O58" s="66"/>
      <c r="P58" s="66"/>
      <c r="Q58" s="66"/>
      <c r="R58" s="25"/>
      <c r="S58" s="36"/>
      <c r="T58" s="53">
        <f t="shared" si="2"/>
        <v>47596.5</v>
      </c>
      <c r="U58" s="42"/>
      <c r="V58" s="42"/>
      <c r="W58" s="42"/>
      <c r="X58" s="42"/>
      <c r="Y58" s="42"/>
    </row>
    <row r="59" ht="15.75" customHeight="1" spans="1:25" x14ac:dyDescent="0.25">
      <c r="A59" s="25"/>
      <c r="B59" s="35">
        <v>1393</v>
      </c>
      <c r="C59" s="25" t="s">
        <v>600</v>
      </c>
      <c r="D59" s="25" t="s">
        <v>295</v>
      </c>
      <c r="E59" s="53">
        <v>4500</v>
      </c>
      <c r="F59" s="50"/>
      <c r="G59" s="25"/>
      <c r="H59" s="25"/>
      <c r="I59" s="65"/>
      <c r="J59" s="66"/>
      <c r="K59" s="66"/>
      <c r="L59" s="66"/>
      <c r="M59" s="67"/>
      <c r="N59" s="66"/>
      <c r="O59" s="66"/>
      <c r="P59" s="66"/>
      <c r="Q59" s="66"/>
      <c r="R59" s="25">
        <v>4500</v>
      </c>
      <c r="S59" s="36"/>
      <c r="T59" s="53">
        <f t="shared" si="2"/>
        <v>43096.5</v>
      </c>
      <c r="U59" s="42"/>
      <c r="V59" s="42"/>
      <c r="W59" s="42"/>
      <c r="X59" s="42"/>
      <c r="Y59" s="42"/>
    </row>
    <row r="60" ht="15.75" customHeight="1" spans="1:25" x14ac:dyDescent="0.25">
      <c r="A60" s="25"/>
      <c r="B60" s="35">
        <v>1394</v>
      </c>
      <c r="C60" s="25" t="s">
        <v>1393</v>
      </c>
      <c r="D60" s="23" t="s">
        <v>1370</v>
      </c>
      <c r="E60" s="53">
        <v>800</v>
      </c>
      <c r="F60" s="50"/>
      <c r="G60" s="25"/>
      <c r="H60" s="65"/>
      <c r="I60" s="65"/>
      <c r="J60" s="66"/>
      <c r="K60" s="66"/>
      <c r="L60" s="66"/>
      <c r="M60" s="66"/>
      <c r="N60" s="66"/>
      <c r="O60" s="66"/>
      <c r="P60" s="67">
        <v>800</v>
      </c>
      <c r="Q60" s="66"/>
      <c r="R60" s="25"/>
      <c r="S60" s="36"/>
      <c r="T60" s="53">
        <f t="shared" si="2"/>
        <v>42296.5</v>
      </c>
      <c r="U60" s="42"/>
      <c r="V60" s="42"/>
      <c r="W60" s="42"/>
      <c r="X60" s="42"/>
      <c r="Y60" s="42"/>
    </row>
    <row r="61" ht="15.75" customHeight="1" spans="1:25" x14ac:dyDescent="0.25">
      <c r="A61" s="25"/>
      <c r="B61" s="35">
        <v>1395</v>
      </c>
      <c r="C61" s="25" t="s">
        <v>634</v>
      </c>
      <c r="D61" s="25" t="s">
        <v>52</v>
      </c>
      <c r="E61" s="53">
        <v>500</v>
      </c>
      <c r="F61" s="50"/>
      <c r="G61" s="35">
        <v>5</v>
      </c>
      <c r="H61" s="35">
        <v>100</v>
      </c>
      <c r="I61" s="53">
        <v>500</v>
      </c>
      <c r="J61" s="66"/>
      <c r="K61" s="66"/>
      <c r="L61" s="66"/>
      <c r="M61" s="66"/>
      <c r="N61" s="66"/>
      <c r="O61" s="66"/>
      <c r="P61" s="66"/>
      <c r="Q61" s="66"/>
      <c r="R61" s="25"/>
      <c r="S61" s="36"/>
      <c r="T61" s="53">
        <f t="shared" si="2"/>
        <v>41796.5</v>
      </c>
      <c r="U61" s="42"/>
      <c r="V61" s="42"/>
      <c r="W61" s="42"/>
      <c r="X61" s="42"/>
      <c r="Y61" s="42"/>
    </row>
    <row r="62" ht="15.75" customHeight="1" spans="1:25" x14ac:dyDescent="0.25">
      <c r="A62" s="25"/>
      <c r="B62" s="35">
        <v>1396</v>
      </c>
      <c r="C62" s="25" t="s">
        <v>170</v>
      </c>
      <c r="D62" s="25" t="s">
        <v>69</v>
      </c>
      <c r="E62" s="53">
        <v>1600</v>
      </c>
      <c r="F62" s="50"/>
      <c r="G62" s="35">
        <v>16</v>
      </c>
      <c r="H62" s="35">
        <v>100</v>
      </c>
      <c r="I62" s="53">
        <v>1600</v>
      </c>
      <c r="J62" s="66"/>
      <c r="K62" s="66"/>
      <c r="L62" s="66"/>
      <c r="M62" s="66"/>
      <c r="N62" s="66"/>
      <c r="O62" s="66"/>
      <c r="P62" s="66"/>
      <c r="Q62" s="66"/>
      <c r="R62" s="25"/>
      <c r="S62" s="36"/>
      <c r="T62" s="53">
        <f t="shared" si="2"/>
        <v>40196.5</v>
      </c>
      <c r="U62" s="42"/>
      <c r="V62" s="42"/>
      <c r="W62" s="42"/>
      <c r="X62" s="42"/>
      <c r="Y62" s="42"/>
    </row>
    <row r="63" ht="15.75" customHeight="1" spans="1:25" x14ac:dyDescent="0.25">
      <c r="A63" s="25" t="s">
        <v>1394</v>
      </c>
      <c r="B63" s="35">
        <v>1397</v>
      </c>
      <c r="C63" s="25" t="s">
        <v>1395</v>
      </c>
      <c r="D63" s="25" t="s">
        <v>1003</v>
      </c>
      <c r="E63" s="53">
        <v>450</v>
      </c>
      <c r="F63" s="50"/>
      <c r="G63" s="25"/>
      <c r="H63" s="25"/>
      <c r="I63" s="65"/>
      <c r="J63" s="66"/>
      <c r="K63" s="66"/>
      <c r="L63" s="66"/>
      <c r="M63" s="66"/>
      <c r="N63" s="66">
        <v>450</v>
      </c>
      <c r="O63" s="66"/>
      <c r="P63" s="66"/>
      <c r="Q63" s="66"/>
      <c r="R63" s="25"/>
      <c r="S63" s="36"/>
      <c r="T63" s="53">
        <f t="shared" si="2"/>
        <v>39746.5</v>
      </c>
      <c r="U63" s="42"/>
      <c r="V63" s="42"/>
      <c r="W63" s="42"/>
      <c r="X63" s="42"/>
      <c r="Y63" s="42"/>
    </row>
    <row r="64" ht="15.75" customHeight="1" spans="1:25" x14ac:dyDescent="0.25">
      <c r="A64" s="25"/>
      <c r="B64" s="35">
        <v>1398</v>
      </c>
      <c r="C64" s="25" t="s">
        <v>1396</v>
      </c>
      <c r="D64" s="23"/>
      <c r="E64" s="53">
        <v>200</v>
      </c>
      <c r="F64" s="50"/>
      <c r="G64" s="25"/>
      <c r="H64" s="25"/>
      <c r="I64" s="65"/>
      <c r="J64" s="66"/>
      <c r="K64" s="66"/>
      <c r="L64" s="66"/>
      <c r="M64" s="66"/>
      <c r="N64" s="66"/>
      <c r="O64" s="67"/>
      <c r="P64" s="66">
        <v>200</v>
      </c>
      <c r="Q64" s="66"/>
      <c r="R64" s="25"/>
      <c r="S64" s="36"/>
      <c r="T64" s="53">
        <f t="shared" si="2"/>
        <v>39546.5</v>
      </c>
      <c r="U64" s="42"/>
      <c r="V64" s="42"/>
      <c r="W64" s="42"/>
      <c r="X64" s="42"/>
      <c r="Y64" s="42"/>
    </row>
    <row r="65" ht="15.75" customHeight="1" spans="1:25" x14ac:dyDescent="0.25">
      <c r="A65" s="25"/>
      <c r="B65" s="35">
        <v>1399</v>
      </c>
      <c r="C65" s="25" t="s">
        <v>1354</v>
      </c>
      <c r="D65" s="25" t="s">
        <v>119</v>
      </c>
      <c r="E65" s="53">
        <v>4300</v>
      </c>
      <c r="F65" s="50"/>
      <c r="G65" s="25"/>
      <c r="H65" s="25"/>
      <c r="I65" s="65"/>
      <c r="J65" s="66"/>
      <c r="K65" s="66"/>
      <c r="L65" s="66"/>
      <c r="M65" s="66">
        <v>4300</v>
      </c>
      <c r="N65" s="66"/>
      <c r="O65" s="67"/>
      <c r="P65" s="66"/>
      <c r="Q65" s="66"/>
      <c r="R65" s="25"/>
      <c r="S65" s="36"/>
      <c r="T65" s="53">
        <f t="shared" si="2"/>
        <v>35246.5</v>
      </c>
      <c r="U65" s="42"/>
      <c r="V65" s="42"/>
      <c r="W65" s="42"/>
      <c r="X65" s="42"/>
      <c r="Y65" s="42"/>
    </row>
    <row r="66" ht="15.75" customHeight="1" spans="1:25" x14ac:dyDescent="0.25">
      <c r="A66" s="25" t="s">
        <v>1397</v>
      </c>
      <c r="B66" s="35">
        <v>1400</v>
      </c>
      <c r="C66" s="25" t="s">
        <v>1398</v>
      </c>
      <c r="D66" s="25" t="s">
        <v>1399</v>
      </c>
      <c r="E66" s="53">
        <v>11000</v>
      </c>
      <c r="F66" s="50"/>
      <c r="G66" s="25"/>
      <c r="H66" s="25"/>
      <c r="I66" s="65"/>
      <c r="J66" s="66"/>
      <c r="K66" s="66"/>
      <c r="L66" s="66"/>
      <c r="M66" s="66"/>
      <c r="N66" s="66">
        <v>11000</v>
      </c>
      <c r="O66" s="66"/>
      <c r="P66" s="66"/>
      <c r="Q66" s="67"/>
      <c r="R66" s="25"/>
      <c r="S66" s="36"/>
      <c r="T66" s="53">
        <f t="shared" si="2"/>
        <v>24246.5</v>
      </c>
      <c r="U66" s="42"/>
      <c r="V66" s="42"/>
      <c r="W66" s="42"/>
      <c r="X66" s="42"/>
      <c r="Y66" s="42"/>
    </row>
    <row r="67" ht="15.75" customHeight="1" spans="1:25" x14ac:dyDescent="0.25">
      <c r="A67" s="25" t="s">
        <v>1400</v>
      </c>
      <c r="B67" s="35">
        <v>1401</v>
      </c>
      <c r="C67" s="25" t="s">
        <v>1401</v>
      </c>
      <c r="D67" s="25" t="s">
        <v>1402</v>
      </c>
      <c r="E67" s="53">
        <v>1000</v>
      </c>
      <c r="F67" s="50"/>
      <c r="G67" s="35"/>
      <c r="H67" s="35"/>
      <c r="I67" s="53"/>
      <c r="J67" s="66"/>
      <c r="K67" s="66"/>
      <c r="L67" s="66"/>
      <c r="M67" s="66"/>
      <c r="N67" s="66">
        <v>1000</v>
      </c>
      <c r="O67" s="66"/>
      <c r="P67" s="67"/>
      <c r="Q67" s="66"/>
      <c r="R67" s="25"/>
      <c r="S67" s="36"/>
      <c r="T67" s="53">
        <f t="shared" si="2"/>
        <v>23246.5</v>
      </c>
      <c r="U67" s="42"/>
      <c r="V67" s="42"/>
      <c r="W67" s="42"/>
      <c r="X67" s="42"/>
      <c r="Y67" s="42"/>
    </row>
    <row r="68" ht="15.75" customHeight="1" spans="1:25" x14ac:dyDescent="0.25">
      <c r="A68" s="25"/>
      <c r="B68" s="35">
        <v>1402</v>
      </c>
      <c r="C68" s="25" t="s">
        <v>1403</v>
      </c>
      <c r="D68" s="25" t="s">
        <v>1370</v>
      </c>
      <c r="E68" s="53">
        <v>2862</v>
      </c>
      <c r="F68" s="50"/>
      <c r="G68" s="35"/>
      <c r="H68" s="35"/>
      <c r="I68" s="53"/>
      <c r="J68" s="66"/>
      <c r="K68" s="66"/>
      <c r="L68" s="66"/>
      <c r="M68" s="66"/>
      <c r="N68" s="66"/>
      <c r="O68" s="66"/>
      <c r="P68" s="66">
        <v>2862</v>
      </c>
      <c r="Q68" s="66"/>
      <c r="R68" s="25"/>
      <c r="S68" s="36"/>
      <c r="T68" s="53">
        <f t="shared" si="2"/>
        <v>20384.5</v>
      </c>
      <c r="U68" s="42"/>
      <c r="V68" s="42"/>
      <c r="W68" s="42"/>
      <c r="X68" s="42"/>
      <c r="Y68" s="42"/>
    </row>
    <row r="69" ht="15.75" customHeight="1" spans="1:25" x14ac:dyDescent="0.25">
      <c r="A69" s="25"/>
      <c r="B69" s="35">
        <v>1403</v>
      </c>
      <c r="C69" s="25" t="s">
        <v>1404</v>
      </c>
      <c r="D69" s="25" t="s">
        <v>1370</v>
      </c>
      <c r="E69" s="53">
        <v>250</v>
      </c>
      <c r="F69" s="50"/>
      <c r="G69" s="25"/>
      <c r="H69" s="25"/>
      <c r="I69" s="65"/>
      <c r="J69" s="66"/>
      <c r="K69" s="66"/>
      <c r="L69" s="66"/>
      <c r="M69" s="66"/>
      <c r="N69" s="66"/>
      <c r="O69" s="66"/>
      <c r="P69" s="66">
        <v>250</v>
      </c>
      <c r="Q69" s="66"/>
      <c r="R69" s="25"/>
      <c r="S69" s="36"/>
      <c r="T69" s="53">
        <f t="shared" si="2"/>
        <v>20134.5</v>
      </c>
      <c r="U69" s="42"/>
      <c r="V69" s="42"/>
      <c r="W69" s="42"/>
      <c r="X69" s="42"/>
      <c r="Y69" s="42"/>
    </row>
    <row r="70" ht="15.75" customHeight="1" spans="1:25" x14ac:dyDescent="0.25">
      <c r="A70" s="25"/>
      <c r="B70" s="35"/>
      <c r="C70" s="25"/>
      <c r="D70" s="25"/>
      <c r="E70" s="53"/>
      <c r="F70" s="50"/>
      <c r="G70" s="25"/>
      <c r="H70" s="25"/>
      <c r="I70" s="65"/>
      <c r="J70" s="66"/>
      <c r="K70" s="66"/>
      <c r="L70" s="66"/>
      <c r="M70" s="66"/>
      <c r="N70" s="66"/>
      <c r="O70" s="66"/>
      <c r="P70" s="66"/>
      <c r="Q70" s="66"/>
      <c r="R70" s="25"/>
      <c r="S70" s="36"/>
      <c r="T70" s="53">
        <f t="shared" si="2"/>
        <v>20134.5</v>
      </c>
      <c r="U70" s="42"/>
      <c r="V70" s="42"/>
      <c r="W70" s="42"/>
      <c r="X70" s="42"/>
      <c r="Y70" s="42"/>
    </row>
    <row r="71" ht="15.75" customHeight="1" spans="1:25" x14ac:dyDescent="0.25">
      <c r="A71" s="25"/>
      <c r="B71" s="35"/>
      <c r="C71" s="25"/>
      <c r="D71" s="25"/>
      <c r="E71" s="53"/>
      <c r="F71" s="50"/>
      <c r="G71" s="25"/>
      <c r="H71" s="25"/>
      <c r="I71" s="65"/>
      <c r="J71" s="66"/>
      <c r="K71" s="66"/>
      <c r="L71" s="66"/>
      <c r="M71" s="66"/>
      <c r="N71" s="66"/>
      <c r="O71" s="66"/>
      <c r="P71" s="66"/>
      <c r="Q71" s="66"/>
      <c r="R71" s="25"/>
      <c r="S71" s="36"/>
      <c r="T71" s="53">
        <f t="shared" si="2"/>
        <v>20134.5</v>
      </c>
      <c r="U71" s="42"/>
      <c r="V71" s="42"/>
      <c r="W71" s="42"/>
      <c r="X71" s="42"/>
      <c r="Y71" s="42"/>
    </row>
    <row r="72" ht="15.75" customHeight="1" spans="1:25" x14ac:dyDescent="0.25">
      <c r="A72" s="25"/>
      <c r="B72" s="35"/>
      <c r="C72" s="25"/>
      <c r="D72" s="25"/>
      <c r="E72" s="53"/>
      <c r="F72" s="50"/>
      <c r="G72" s="25"/>
      <c r="H72" s="25"/>
      <c r="I72" s="65"/>
      <c r="J72" s="66"/>
      <c r="K72" s="66"/>
      <c r="L72" s="66"/>
      <c r="M72" s="66"/>
      <c r="N72" s="66"/>
      <c r="O72" s="66"/>
      <c r="P72" s="66"/>
      <c r="Q72" s="66"/>
      <c r="R72" s="25"/>
      <c r="S72" s="36"/>
      <c r="T72" s="53">
        <f t="shared" si="2"/>
        <v>20134.5</v>
      </c>
      <c r="U72" s="42"/>
      <c r="V72" s="42"/>
      <c r="W72" s="42"/>
      <c r="X72" s="42"/>
      <c r="Y72" s="42"/>
    </row>
    <row r="73" ht="15.75" customHeight="1" spans="1:25" x14ac:dyDescent="0.25">
      <c r="A73" s="25"/>
      <c r="B73" s="35"/>
      <c r="C73" s="25"/>
      <c r="D73" s="25"/>
      <c r="E73" s="53"/>
      <c r="F73" s="50"/>
      <c r="G73" s="25"/>
      <c r="H73" s="25"/>
      <c r="I73" s="65"/>
      <c r="J73" s="66"/>
      <c r="K73" s="66"/>
      <c r="L73" s="66"/>
      <c r="M73" s="66"/>
      <c r="N73" s="66"/>
      <c r="O73" s="66"/>
      <c r="P73" s="66"/>
      <c r="Q73" s="66"/>
      <c r="R73" s="25"/>
      <c r="S73" s="36"/>
      <c r="T73" s="53">
        <f t="shared" si="2"/>
        <v>20134.5</v>
      </c>
      <c r="U73" s="42"/>
      <c r="V73" s="42"/>
      <c r="W73" s="42"/>
      <c r="X73" s="42"/>
      <c r="Y73" s="42"/>
    </row>
    <row r="74" ht="15.75" customHeight="1" spans="1:25" x14ac:dyDescent="0.25">
      <c r="A74" s="25"/>
      <c r="B74" s="35"/>
      <c r="C74" s="25"/>
      <c r="D74" s="25"/>
      <c r="E74" s="53"/>
      <c r="F74" s="50"/>
      <c r="G74" s="25"/>
      <c r="H74" s="25"/>
      <c r="I74" s="65"/>
      <c r="J74" s="66"/>
      <c r="K74" s="66"/>
      <c r="L74" s="66"/>
      <c r="M74" s="66"/>
      <c r="N74" s="66"/>
      <c r="O74" s="66"/>
      <c r="P74" s="66"/>
      <c r="Q74" s="66"/>
      <c r="R74" s="25"/>
      <c r="S74" s="36"/>
      <c r="T74" s="53">
        <f t="shared" si="2"/>
        <v>20134.5</v>
      </c>
      <c r="U74" s="42"/>
      <c r="V74" s="42"/>
      <c r="W74" s="42"/>
      <c r="X74" s="42"/>
      <c r="Y74" s="42"/>
    </row>
    <row r="75" ht="15.75" customHeight="1" spans="1:25" x14ac:dyDescent="0.25">
      <c r="A75" s="25"/>
      <c r="B75" s="35"/>
      <c r="C75" s="25"/>
      <c r="D75" s="25"/>
      <c r="E75" s="53"/>
      <c r="F75" s="50"/>
      <c r="G75" s="35"/>
      <c r="H75" s="35"/>
      <c r="I75" s="53"/>
      <c r="J75" s="66"/>
      <c r="K75" s="66"/>
      <c r="L75" s="66"/>
      <c r="M75" s="66"/>
      <c r="N75" s="66"/>
      <c r="O75" s="66"/>
      <c r="P75" s="66"/>
      <c r="Q75" s="66"/>
      <c r="R75" s="25"/>
      <c r="S75" s="36"/>
      <c r="T75" s="53">
        <f t="shared" si="2"/>
        <v>20134.5</v>
      </c>
      <c r="U75" s="42"/>
      <c r="V75" s="42"/>
      <c r="W75" s="42"/>
      <c r="X75" s="42"/>
      <c r="Y75" s="42"/>
    </row>
    <row r="76" ht="15.75" customHeight="1" spans="1:25" x14ac:dyDescent="0.25">
      <c r="A76" s="25"/>
      <c r="B76" s="35"/>
      <c r="C76" s="25"/>
      <c r="D76" s="25"/>
      <c r="E76" s="53"/>
      <c r="F76" s="68"/>
      <c r="G76" s="35"/>
      <c r="H76" s="35"/>
      <c r="I76" s="53"/>
      <c r="J76" s="66"/>
      <c r="K76" s="67"/>
      <c r="L76" s="66"/>
      <c r="M76" s="66"/>
      <c r="N76" s="66"/>
      <c r="O76" s="66"/>
      <c r="P76" s="66"/>
      <c r="Q76" s="66"/>
      <c r="R76" s="25"/>
      <c r="S76" s="36"/>
      <c r="T76" s="53">
        <f t="shared" si="2"/>
        <v>20134.5</v>
      </c>
      <c r="U76" s="42"/>
      <c r="V76" s="42"/>
      <c r="W76" s="42"/>
      <c r="X76" s="42"/>
      <c r="Y76" s="42"/>
    </row>
    <row r="77" ht="15.75" customHeight="1" spans="1:25" x14ac:dyDescent="0.25">
      <c r="A77" s="25"/>
      <c r="B77" s="35"/>
      <c r="C77" s="25"/>
      <c r="D77" s="25"/>
      <c r="E77" s="53"/>
      <c r="F77" s="50"/>
      <c r="G77" s="35"/>
      <c r="H77" s="35"/>
      <c r="I77" s="53"/>
      <c r="J77" s="66"/>
      <c r="K77" s="66"/>
      <c r="L77" s="66"/>
      <c r="M77" s="66"/>
      <c r="N77" s="66"/>
      <c r="O77" s="66"/>
      <c r="P77" s="66"/>
      <c r="Q77" s="66"/>
      <c r="R77" s="25"/>
      <c r="S77" s="36"/>
      <c r="T77" s="53">
        <f t="shared" si="2"/>
        <v>20134.5</v>
      </c>
      <c r="U77" s="42"/>
      <c r="V77" s="42"/>
      <c r="W77" s="42"/>
      <c r="X77" s="42"/>
      <c r="Y77" s="42"/>
    </row>
    <row r="78" ht="15.75" customHeight="1" spans="1:25" x14ac:dyDescent="0.25">
      <c r="A78" s="25"/>
      <c r="B78" s="35"/>
      <c r="C78" s="25"/>
      <c r="D78" s="25"/>
      <c r="E78" s="53"/>
      <c r="F78" s="50"/>
      <c r="G78" s="35"/>
      <c r="H78" s="35"/>
      <c r="I78" s="53"/>
      <c r="J78" s="66"/>
      <c r="K78" s="66"/>
      <c r="L78" s="66"/>
      <c r="M78" s="66"/>
      <c r="N78" s="66"/>
      <c r="O78" s="66"/>
      <c r="P78" s="66"/>
      <c r="Q78" s="66"/>
      <c r="R78" s="25"/>
      <c r="S78" s="36"/>
      <c r="T78" s="53">
        <f t="shared" si="2"/>
        <v>20134.5</v>
      </c>
      <c r="U78" s="42"/>
      <c r="V78" s="42"/>
      <c r="W78" s="42"/>
      <c r="X78" s="42"/>
      <c r="Y78" s="42"/>
    </row>
    <row r="79" ht="15.75" customHeight="1" spans="1:25" x14ac:dyDescent="0.25">
      <c r="A79" s="25"/>
      <c r="B79" s="35"/>
      <c r="C79" s="25"/>
      <c r="D79" s="25"/>
      <c r="E79" s="53"/>
      <c r="F79" s="50"/>
      <c r="G79" s="35"/>
      <c r="H79" s="35"/>
      <c r="I79" s="53"/>
      <c r="J79" s="66"/>
      <c r="K79" s="66"/>
      <c r="L79" s="66"/>
      <c r="M79" s="66"/>
      <c r="N79" s="66"/>
      <c r="O79" s="66"/>
      <c r="P79" s="66"/>
      <c r="Q79" s="66"/>
      <c r="R79" s="25"/>
      <c r="S79" s="36"/>
      <c r="T79" s="53">
        <f t="shared" si="2"/>
        <v>20134.5</v>
      </c>
      <c r="U79" s="42"/>
      <c r="V79" s="42"/>
      <c r="W79" s="42"/>
      <c r="X79" s="42"/>
      <c r="Y79" s="42"/>
    </row>
    <row r="80" ht="15.75" customHeight="1" spans="1:25" x14ac:dyDescent="0.25">
      <c r="A80" s="25"/>
      <c r="B80" s="35"/>
      <c r="C80" s="25"/>
      <c r="D80" s="25"/>
      <c r="E80" s="53"/>
      <c r="F80" s="50"/>
      <c r="G80" s="35"/>
      <c r="H80" s="35"/>
      <c r="I80" s="53"/>
      <c r="J80" s="66"/>
      <c r="K80" s="66"/>
      <c r="L80" s="66"/>
      <c r="M80" s="66"/>
      <c r="N80" s="66"/>
      <c r="O80" s="66"/>
      <c r="P80" s="67"/>
      <c r="Q80" s="66"/>
      <c r="R80" s="25"/>
      <c r="S80" s="36"/>
      <c r="T80" s="53">
        <f t="shared" si="2"/>
        <v>20134.5</v>
      </c>
      <c r="U80" s="42"/>
      <c r="V80" s="42"/>
      <c r="W80" s="42"/>
      <c r="X80" s="42"/>
      <c r="Y80" s="42"/>
    </row>
    <row r="81" ht="15.75" customHeight="1" spans="1:25" x14ac:dyDescent="0.25">
      <c r="A81" s="25"/>
      <c r="B81" s="35"/>
      <c r="C81" s="25"/>
      <c r="D81" s="25"/>
      <c r="E81" s="53"/>
      <c r="F81" s="50"/>
      <c r="G81" s="35"/>
      <c r="H81" s="35"/>
      <c r="I81" s="53"/>
      <c r="J81" s="66"/>
      <c r="K81" s="66"/>
      <c r="L81" s="66"/>
      <c r="M81" s="66"/>
      <c r="N81" s="66"/>
      <c r="O81" s="66"/>
      <c r="P81" s="66"/>
      <c r="Q81" s="67"/>
      <c r="R81" s="25"/>
      <c r="S81" s="36"/>
      <c r="T81" s="53">
        <f t="shared" si="2"/>
        <v>20134.5</v>
      </c>
      <c r="U81" s="42"/>
      <c r="V81" s="42"/>
      <c r="W81" s="42"/>
      <c r="X81" s="42"/>
      <c r="Y81" s="42"/>
    </row>
    <row r="82" ht="15.75" customHeight="1" spans="1:25" x14ac:dyDescent="0.25">
      <c r="A82" s="25"/>
      <c r="B82" s="35"/>
      <c r="C82" s="25"/>
      <c r="D82" s="25"/>
      <c r="E82" s="53"/>
      <c r="F82" s="50"/>
      <c r="G82" s="25"/>
      <c r="H82" s="25"/>
      <c r="I82" s="65"/>
      <c r="J82" s="66"/>
      <c r="K82" s="66"/>
      <c r="L82" s="66"/>
      <c r="M82" s="66"/>
      <c r="N82" s="66"/>
      <c r="O82" s="66"/>
      <c r="P82" s="67"/>
      <c r="Q82" s="66"/>
      <c r="R82" s="25"/>
      <c r="S82" s="36"/>
      <c r="T82" s="53">
        <f t="shared" si="2"/>
        <v>20134.5</v>
      </c>
      <c r="U82" s="42"/>
      <c r="V82" s="42"/>
      <c r="W82" s="42"/>
      <c r="X82" s="42"/>
      <c r="Y82" s="42"/>
    </row>
    <row r="83" ht="15.75" customHeight="1" spans="1:25" x14ac:dyDescent="0.25">
      <c r="A83" s="25"/>
      <c r="B83" s="35"/>
      <c r="C83" s="25"/>
      <c r="D83" s="25"/>
      <c r="E83" s="53"/>
      <c r="F83" s="50"/>
      <c r="G83" s="35"/>
      <c r="H83" s="35"/>
      <c r="I83" s="53"/>
      <c r="J83" s="66"/>
      <c r="K83" s="66"/>
      <c r="L83" s="66"/>
      <c r="M83" s="66"/>
      <c r="N83" s="66"/>
      <c r="O83" s="66"/>
      <c r="P83" s="67"/>
      <c r="Q83" s="66"/>
      <c r="R83" s="25"/>
      <c r="S83" s="36"/>
      <c r="T83" s="53">
        <f t="shared" si="2"/>
        <v>20134.5</v>
      </c>
      <c r="U83" s="42"/>
      <c r="V83" s="42"/>
      <c r="W83" s="42"/>
      <c r="X83" s="42"/>
      <c r="Y83" s="42"/>
    </row>
    <row r="84" ht="15.75" customHeight="1" spans="1:25" x14ac:dyDescent="0.25">
      <c r="A84" s="25"/>
      <c r="B84" s="35"/>
      <c r="C84" s="25"/>
      <c r="D84" s="25"/>
      <c r="E84" s="53"/>
      <c r="F84" s="50"/>
      <c r="G84" s="35"/>
      <c r="H84" s="35"/>
      <c r="I84" s="53"/>
      <c r="J84" s="66"/>
      <c r="K84" s="66"/>
      <c r="L84" s="66"/>
      <c r="M84" s="66"/>
      <c r="N84" s="66"/>
      <c r="O84" s="66"/>
      <c r="P84" s="67"/>
      <c r="Q84" s="66"/>
      <c r="R84" s="25"/>
      <c r="S84" s="36"/>
      <c r="T84" s="53">
        <f t="shared" si="2"/>
        <v>20134.5</v>
      </c>
      <c r="U84" s="42"/>
      <c r="V84" s="42"/>
      <c r="W84" s="42"/>
      <c r="X84" s="42"/>
      <c r="Y84" s="42"/>
    </row>
    <row r="85" ht="15.75" customHeight="1" spans="1:25" x14ac:dyDescent="0.25">
      <c r="A85" s="25"/>
      <c r="B85" s="35"/>
      <c r="C85" s="25"/>
      <c r="D85" s="25"/>
      <c r="E85" s="53"/>
      <c r="F85" s="50"/>
      <c r="G85" s="35"/>
      <c r="H85" s="35"/>
      <c r="I85" s="53"/>
      <c r="J85" s="66"/>
      <c r="K85" s="66"/>
      <c r="L85" s="66"/>
      <c r="M85" s="66"/>
      <c r="N85" s="66"/>
      <c r="O85" s="66"/>
      <c r="P85" s="66"/>
      <c r="Q85" s="66"/>
      <c r="R85" s="25"/>
      <c r="S85" s="36"/>
      <c r="T85" s="53">
        <f t="shared" si="2"/>
        <v>20134.5</v>
      </c>
      <c r="U85" s="42"/>
      <c r="V85" s="42"/>
      <c r="W85" s="42"/>
      <c r="X85" s="42"/>
      <c r="Y85" s="42"/>
    </row>
    <row r="86" ht="15.75" customHeight="1" spans="1:25" x14ac:dyDescent="0.25">
      <c r="A86" s="25"/>
      <c r="B86" s="35"/>
      <c r="C86" s="25"/>
      <c r="D86" s="25"/>
      <c r="E86" s="53"/>
      <c r="F86" s="50"/>
      <c r="G86" s="35"/>
      <c r="H86" s="35"/>
      <c r="I86" s="53"/>
      <c r="J86" s="66"/>
      <c r="K86" s="66"/>
      <c r="L86" s="66"/>
      <c r="M86" s="66"/>
      <c r="N86" s="66"/>
      <c r="O86" s="66"/>
      <c r="P86" s="66"/>
      <c r="Q86" s="66"/>
      <c r="R86" s="25"/>
      <c r="S86" s="36"/>
      <c r="T86" s="53">
        <f t="shared" si="2"/>
        <v>20134.5</v>
      </c>
      <c r="U86" s="42"/>
      <c r="V86" s="42"/>
      <c r="W86" s="42"/>
      <c r="X86" s="42"/>
      <c r="Y86" s="42"/>
    </row>
    <row r="87" ht="15.75" customHeight="1" spans="1:25" x14ac:dyDescent="0.25">
      <c r="A87" s="25"/>
      <c r="B87" s="35"/>
      <c r="C87" s="25"/>
      <c r="D87" s="25"/>
      <c r="E87" s="53"/>
      <c r="F87" s="50"/>
      <c r="G87" s="35"/>
      <c r="H87" s="35"/>
      <c r="I87" s="53"/>
      <c r="J87" s="66"/>
      <c r="K87" s="66"/>
      <c r="L87" s="66"/>
      <c r="M87" s="66"/>
      <c r="N87" s="66"/>
      <c r="O87" s="66"/>
      <c r="P87" s="66"/>
      <c r="Q87" s="66"/>
      <c r="R87" s="25"/>
      <c r="S87" s="36"/>
      <c r="T87" s="53">
        <f t="shared" si="2"/>
        <v>20134.5</v>
      </c>
      <c r="U87" s="42"/>
      <c r="V87" s="42"/>
      <c r="W87" s="42"/>
      <c r="X87" s="42"/>
      <c r="Y87" s="42"/>
    </row>
    <row r="88" ht="15.75" customHeight="1" spans="1:25" x14ac:dyDescent="0.25">
      <c r="A88" s="25"/>
      <c r="B88" s="35"/>
      <c r="C88" s="25"/>
      <c r="D88" s="25"/>
      <c r="E88" s="53"/>
      <c r="F88" s="50"/>
      <c r="G88" s="35"/>
      <c r="H88" s="35"/>
      <c r="I88" s="53"/>
      <c r="J88" s="66"/>
      <c r="K88" s="66"/>
      <c r="L88" s="66"/>
      <c r="M88" s="66"/>
      <c r="N88" s="66"/>
      <c r="O88" s="66"/>
      <c r="P88" s="66"/>
      <c r="Q88" s="66"/>
      <c r="R88" s="25"/>
      <c r="S88" s="36"/>
      <c r="T88" s="53">
        <f t="shared" si="2"/>
        <v>20134.5</v>
      </c>
      <c r="U88" s="42"/>
      <c r="V88" s="42"/>
      <c r="W88" s="42"/>
      <c r="X88" s="42"/>
      <c r="Y88" s="42"/>
    </row>
    <row r="89" ht="15.75" customHeight="1" spans="1:25" x14ac:dyDescent="0.25">
      <c r="A89" s="25"/>
      <c r="B89" s="35"/>
      <c r="C89" s="25"/>
      <c r="D89" s="25"/>
      <c r="E89" s="53"/>
      <c r="F89" s="50"/>
      <c r="G89" s="35"/>
      <c r="H89" s="35"/>
      <c r="I89" s="53"/>
      <c r="J89" s="66"/>
      <c r="K89" s="66"/>
      <c r="L89" s="66"/>
      <c r="M89" s="66"/>
      <c r="N89" s="66"/>
      <c r="O89" s="66"/>
      <c r="P89" s="66"/>
      <c r="Q89" s="66"/>
      <c r="R89" s="25"/>
      <c r="S89" s="36"/>
      <c r="T89" s="53">
        <f t="shared" si="2"/>
        <v>20134.5</v>
      </c>
      <c r="U89" s="42"/>
      <c r="V89" s="42"/>
      <c r="W89" s="42"/>
      <c r="X89" s="42"/>
      <c r="Y89" s="42"/>
    </row>
    <row r="90" ht="15.75" customHeight="1" spans="1:25" x14ac:dyDescent="0.25">
      <c r="A90" s="25"/>
      <c r="B90" s="35"/>
      <c r="C90" s="25"/>
      <c r="D90" s="25"/>
      <c r="E90" s="53"/>
      <c r="F90" s="50"/>
      <c r="G90" s="35"/>
      <c r="H90" s="35"/>
      <c r="I90" s="53"/>
      <c r="J90" s="66"/>
      <c r="K90" s="66"/>
      <c r="L90" s="66"/>
      <c r="M90" s="66"/>
      <c r="N90" s="66"/>
      <c r="O90" s="66"/>
      <c r="P90" s="66"/>
      <c r="Q90" s="66"/>
      <c r="R90" s="25"/>
      <c r="S90" s="36"/>
      <c r="T90" s="53">
        <f t="shared" si="2"/>
        <v>20134.5</v>
      </c>
      <c r="U90" s="42"/>
      <c r="V90" s="42"/>
      <c r="W90" s="42"/>
      <c r="X90" s="42"/>
      <c r="Y90" s="42"/>
    </row>
    <row r="91" ht="15.75" customHeight="1" spans="1:25" x14ac:dyDescent="0.25">
      <c r="A91" s="25"/>
      <c r="B91" s="35"/>
      <c r="C91" s="25"/>
      <c r="D91" s="25"/>
      <c r="E91" s="53"/>
      <c r="F91" s="50"/>
      <c r="G91" s="35"/>
      <c r="H91" s="35"/>
      <c r="I91" s="53"/>
      <c r="J91" s="66"/>
      <c r="K91" s="66"/>
      <c r="L91" s="66"/>
      <c r="M91" s="66"/>
      <c r="N91" s="66"/>
      <c r="O91" s="66"/>
      <c r="P91" s="66"/>
      <c r="Q91" s="66"/>
      <c r="R91" s="25"/>
      <c r="S91" s="36"/>
      <c r="T91" s="53">
        <f t="shared" si="2"/>
        <v>20134.5</v>
      </c>
      <c r="U91" s="42"/>
      <c r="V91" s="42"/>
      <c r="W91" s="42"/>
      <c r="X91" s="42"/>
      <c r="Y91" s="42"/>
    </row>
    <row r="92" ht="15.75" customHeight="1" spans="1:25" x14ac:dyDescent="0.25">
      <c r="A92" s="25"/>
      <c r="B92" s="35"/>
      <c r="C92" s="25"/>
      <c r="D92" s="25"/>
      <c r="E92" s="53"/>
      <c r="F92" s="50"/>
      <c r="G92" s="35"/>
      <c r="H92" s="35"/>
      <c r="I92" s="53"/>
      <c r="J92" s="66"/>
      <c r="K92" s="66"/>
      <c r="L92" s="66"/>
      <c r="M92" s="66"/>
      <c r="N92" s="66"/>
      <c r="O92" s="66"/>
      <c r="P92" s="66"/>
      <c r="Q92" s="66"/>
      <c r="R92" s="25"/>
      <c r="S92" s="36"/>
      <c r="T92" s="53">
        <f t="shared" si="2"/>
        <v>20134.5</v>
      </c>
      <c r="U92" s="42"/>
      <c r="V92" s="42"/>
      <c r="W92" s="42"/>
      <c r="X92" s="42"/>
      <c r="Y92" s="42"/>
    </row>
    <row r="93" ht="15.75" customHeight="1" spans="1:25" x14ac:dyDescent="0.25">
      <c r="A93" s="25"/>
      <c r="B93" s="35"/>
      <c r="C93" s="25"/>
      <c r="D93" s="25"/>
      <c r="E93" s="53"/>
      <c r="F93" s="50"/>
      <c r="G93" s="35"/>
      <c r="H93" s="35"/>
      <c r="I93" s="53"/>
      <c r="J93" s="66"/>
      <c r="K93" s="66"/>
      <c r="L93" s="66"/>
      <c r="M93" s="66"/>
      <c r="N93" s="66"/>
      <c r="O93" s="66"/>
      <c r="P93" s="66"/>
      <c r="Q93" s="66"/>
      <c r="R93" s="25"/>
      <c r="S93" s="36"/>
      <c r="T93" s="53">
        <f t="shared" si="2"/>
        <v>20134.5</v>
      </c>
      <c r="U93" s="42"/>
      <c r="V93" s="42"/>
      <c r="W93" s="42"/>
      <c r="X93" s="42"/>
      <c r="Y93" s="42"/>
    </row>
    <row r="94" ht="15.75" customHeight="1" spans="1:25" x14ac:dyDescent="0.25">
      <c r="A94" s="25"/>
      <c r="B94" s="35"/>
      <c r="C94" s="25"/>
      <c r="D94" s="25"/>
      <c r="E94" s="53"/>
      <c r="F94" s="50"/>
      <c r="G94" s="35"/>
      <c r="H94" s="35"/>
      <c r="I94" s="53"/>
      <c r="J94" s="66"/>
      <c r="K94" s="67"/>
      <c r="L94" s="66"/>
      <c r="M94" s="66"/>
      <c r="N94" s="66"/>
      <c r="O94" s="66"/>
      <c r="P94" s="66"/>
      <c r="Q94" s="66"/>
      <c r="R94" s="25"/>
      <c r="S94" s="36"/>
      <c r="T94" s="53">
        <f t="shared" si="2"/>
        <v>20134.5</v>
      </c>
      <c r="U94" s="42"/>
      <c r="V94" s="42"/>
      <c r="W94" s="42"/>
      <c r="X94" s="42"/>
      <c r="Y94" s="42"/>
    </row>
    <row r="95" ht="15.75" customHeight="1" spans="1:25" x14ac:dyDescent="0.25">
      <c r="A95" s="25"/>
      <c r="B95" s="35"/>
      <c r="C95" s="25"/>
      <c r="D95" s="25"/>
      <c r="E95" s="53"/>
      <c r="F95" s="50"/>
      <c r="G95" s="35"/>
      <c r="H95" s="35"/>
      <c r="I95" s="53"/>
      <c r="J95" s="66"/>
      <c r="K95" s="66"/>
      <c r="L95" s="66"/>
      <c r="M95" s="66"/>
      <c r="N95" s="66"/>
      <c r="O95" s="66"/>
      <c r="P95" s="66"/>
      <c r="Q95" s="66"/>
      <c r="R95" s="25"/>
      <c r="S95" s="36"/>
      <c r="T95" s="53">
        <f t="shared" si="2"/>
        <v>20134.5</v>
      </c>
      <c r="U95" s="42"/>
      <c r="V95" s="42"/>
      <c r="W95" s="42"/>
      <c r="X95" s="42"/>
      <c r="Y95" s="42"/>
    </row>
    <row r="96" ht="15.75" customHeight="1" spans="1:25" x14ac:dyDescent="0.25">
      <c r="A96" s="25"/>
      <c r="B96" s="35"/>
      <c r="C96" s="25"/>
      <c r="D96" s="25"/>
      <c r="E96" s="53"/>
      <c r="F96" s="50"/>
      <c r="G96" s="35"/>
      <c r="H96" s="35"/>
      <c r="I96" s="53"/>
      <c r="J96" s="66"/>
      <c r="K96" s="66"/>
      <c r="L96" s="66"/>
      <c r="M96" s="66"/>
      <c r="N96" s="66"/>
      <c r="O96" s="66"/>
      <c r="P96" s="66"/>
      <c r="Q96" s="66"/>
      <c r="R96" s="25"/>
      <c r="S96" s="36"/>
      <c r="T96" s="53">
        <f t="shared" si="2"/>
        <v>20134.5</v>
      </c>
      <c r="U96" s="42"/>
      <c r="V96" s="42"/>
      <c r="W96" s="42"/>
      <c r="X96" s="42"/>
      <c r="Y96" s="42"/>
    </row>
    <row r="97" ht="15.75" customHeight="1" spans="1:25" x14ac:dyDescent="0.25">
      <c r="A97" s="25"/>
      <c r="B97" s="35"/>
      <c r="C97" s="25"/>
      <c r="D97" s="25"/>
      <c r="E97" s="53"/>
      <c r="F97" s="50"/>
      <c r="G97" s="35"/>
      <c r="H97" s="35"/>
      <c r="I97" s="53"/>
      <c r="J97" s="66"/>
      <c r="K97" s="66"/>
      <c r="L97" s="66"/>
      <c r="M97" s="66"/>
      <c r="N97" s="66"/>
      <c r="O97" s="66"/>
      <c r="P97" s="66"/>
      <c r="Q97" s="67"/>
      <c r="R97" s="25"/>
      <c r="S97" s="36"/>
      <c r="T97" s="53">
        <f t="shared" si="2"/>
        <v>20134.5</v>
      </c>
      <c r="U97" s="42"/>
      <c r="V97" s="42"/>
      <c r="W97" s="42"/>
      <c r="X97" s="42"/>
      <c r="Y97" s="42"/>
    </row>
    <row r="98" ht="15.75" customHeight="1" spans="1:25" x14ac:dyDescent="0.25">
      <c r="A98" s="25"/>
      <c r="B98" s="35"/>
      <c r="C98" s="25"/>
      <c r="D98" s="25"/>
      <c r="E98" s="53"/>
      <c r="F98" s="50"/>
      <c r="G98" s="35"/>
      <c r="H98" s="35"/>
      <c r="I98" s="53"/>
      <c r="J98" s="66"/>
      <c r="K98" s="66"/>
      <c r="L98" s="66"/>
      <c r="M98" s="66"/>
      <c r="N98" s="66"/>
      <c r="O98" s="66"/>
      <c r="P98" s="66"/>
      <c r="Q98" s="66"/>
      <c r="R98" s="25"/>
      <c r="S98" s="36"/>
      <c r="T98" s="53">
        <f t="shared" si="2"/>
        <v>20134.5</v>
      </c>
      <c r="U98" s="42"/>
      <c r="V98" s="42"/>
      <c r="W98" s="42"/>
      <c r="X98" s="42"/>
      <c r="Y98" s="42"/>
    </row>
    <row r="99" ht="15.75" customHeight="1" spans="1:25" x14ac:dyDescent="0.25">
      <c r="A99" s="25"/>
      <c r="B99" s="35"/>
      <c r="C99" s="25"/>
      <c r="D99" s="25"/>
      <c r="E99" s="53"/>
      <c r="F99" s="50"/>
      <c r="G99" s="35"/>
      <c r="H99" s="35"/>
      <c r="I99" s="53"/>
      <c r="J99" s="66"/>
      <c r="K99" s="66"/>
      <c r="L99" s="66"/>
      <c r="M99" s="66"/>
      <c r="N99" s="66"/>
      <c r="O99" s="66"/>
      <c r="P99" s="66"/>
      <c r="Q99" s="66"/>
      <c r="R99" s="25"/>
      <c r="S99" s="36"/>
      <c r="T99" s="53">
        <f t="shared" si="2"/>
        <v>20134.5</v>
      </c>
      <c r="U99" s="42"/>
      <c r="V99" s="42"/>
      <c r="W99" s="42"/>
      <c r="X99" s="42"/>
      <c r="Y99" s="42"/>
    </row>
    <row r="100" ht="15.75" customHeight="1" spans="1:25" x14ac:dyDescent="0.25">
      <c r="A100" s="25"/>
      <c r="B100" s="35"/>
      <c r="C100" s="25"/>
      <c r="D100" s="25"/>
      <c r="E100" s="53"/>
      <c r="F100" s="50"/>
      <c r="G100" s="35"/>
      <c r="H100" s="35"/>
      <c r="I100" s="53"/>
      <c r="J100" s="66"/>
      <c r="K100" s="66"/>
      <c r="L100" s="66"/>
      <c r="M100" s="66"/>
      <c r="N100" s="66"/>
      <c r="O100" s="66"/>
      <c r="P100" s="66"/>
      <c r="Q100" s="66"/>
      <c r="R100" s="25"/>
      <c r="S100" s="36"/>
      <c r="T100" s="53">
        <f t="shared" si="2"/>
        <v>20134.5</v>
      </c>
      <c r="U100" s="42"/>
      <c r="V100" s="42"/>
      <c r="W100" s="42"/>
      <c r="X100" s="42"/>
      <c r="Y100" s="42"/>
    </row>
    <row r="101" ht="15.75" customHeight="1" spans="1:25" x14ac:dyDescent="0.25">
      <c r="A101" s="25"/>
      <c r="B101" s="35"/>
      <c r="C101" s="25"/>
      <c r="D101" s="25"/>
      <c r="E101" s="53"/>
      <c r="F101" s="68"/>
      <c r="G101" s="35"/>
      <c r="H101" s="35"/>
      <c r="I101" s="53"/>
      <c r="J101" s="66"/>
      <c r="K101" s="66"/>
      <c r="L101" s="66"/>
      <c r="M101" s="66"/>
      <c r="N101" s="66"/>
      <c r="O101" s="66"/>
      <c r="P101" s="66"/>
      <c r="Q101" s="66"/>
      <c r="R101" s="25"/>
      <c r="S101" s="36"/>
      <c r="T101" s="53">
        <f>T100-E101+100000</f>
        <v>120134.5</v>
      </c>
      <c r="U101" s="42"/>
      <c r="V101" s="42"/>
      <c r="W101" s="42"/>
      <c r="X101" s="42"/>
      <c r="Y101" s="42"/>
    </row>
    <row r="102" ht="15.75" customHeight="1" spans="1:25" x14ac:dyDescent="0.25">
      <c r="A102" s="25"/>
      <c r="B102" s="35"/>
      <c r="C102" s="25"/>
      <c r="D102" s="25"/>
      <c r="E102" s="53"/>
      <c r="F102" s="50"/>
      <c r="G102" s="35"/>
      <c r="H102" s="35"/>
      <c r="I102" s="53"/>
      <c r="J102" s="66"/>
      <c r="K102" s="66"/>
      <c r="L102" s="66"/>
      <c r="M102" s="66"/>
      <c r="N102" s="66"/>
      <c r="O102" s="66"/>
      <c r="P102" s="66"/>
      <c r="Q102" s="66"/>
      <c r="R102" s="25"/>
      <c r="S102" s="36"/>
      <c r="T102" s="53">
        <f t="shared" ref="T102:T176" si="3">T101-E102</f>
        <v>120134.5</v>
      </c>
      <c r="U102" s="42"/>
      <c r="V102" s="42"/>
      <c r="W102" s="42"/>
      <c r="X102" s="42"/>
      <c r="Y102" s="42"/>
    </row>
    <row r="103" ht="15.75" customHeight="1" spans="1:25" x14ac:dyDescent="0.25">
      <c r="A103" s="25"/>
      <c r="B103" s="35"/>
      <c r="C103" s="25"/>
      <c r="D103" s="25"/>
      <c r="E103" s="53"/>
      <c r="F103" s="50"/>
      <c r="G103" s="35"/>
      <c r="H103" s="35"/>
      <c r="I103" s="53"/>
      <c r="J103" s="66"/>
      <c r="K103" s="66"/>
      <c r="L103" s="66"/>
      <c r="M103" s="66"/>
      <c r="N103" s="66"/>
      <c r="O103" s="66"/>
      <c r="P103" s="66"/>
      <c r="Q103" s="66"/>
      <c r="R103" s="25"/>
      <c r="S103" s="36"/>
      <c r="T103" s="53">
        <f t="shared" si="3"/>
        <v>120134.5</v>
      </c>
      <c r="U103" s="42"/>
      <c r="V103" s="42"/>
      <c r="W103" s="42"/>
      <c r="X103" s="42"/>
      <c r="Y103" s="42"/>
    </row>
    <row r="104" ht="15.75" customHeight="1" spans="1:25" x14ac:dyDescent="0.25">
      <c r="A104" s="25"/>
      <c r="B104" s="35"/>
      <c r="C104" s="25"/>
      <c r="D104" s="25"/>
      <c r="E104" s="53"/>
      <c r="F104" s="50"/>
      <c r="G104" s="25"/>
      <c r="H104" s="92"/>
      <c r="I104" s="65"/>
      <c r="J104" s="66"/>
      <c r="K104" s="66"/>
      <c r="L104" s="66"/>
      <c r="M104" s="66"/>
      <c r="N104" s="66"/>
      <c r="O104" s="66"/>
      <c r="P104" s="66"/>
      <c r="Q104" s="66"/>
      <c r="R104" s="25"/>
      <c r="S104" s="36"/>
      <c r="T104" s="53">
        <f t="shared" si="3"/>
        <v>120134.5</v>
      </c>
      <c r="U104" s="42"/>
      <c r="V104" s="42"/>
      <c r="W104" s="42"/>
      <c r="X104" s="42"/>
      <c r="Y104" s="42"/>
    </row>
    <row r="105" ht="15.75" customHeight="1" spans="1:25" x14ac:dyDescent="0.25">
      <c r="A105" s="25"/>
      <c r="B105" s="35"/>
      <c r="C105" s="25"/>
      <c r="D105" s="25"/>
      <c r="E105" s="53"/>
      <c r="F105" s="50"/>
      <c r="G105" s="25"/>
      <c r="H105" s="25"/>
      <c r="I105" s="65"/>
      <c r="J105" s="66"/>
      <c r="K105" s="66"/>
      <c r="L105" s="66"/>
      <c r="M105" s="67"/>
      <c r="N105" s="66"/>
      <c r="O105" s="66"/>
      <c r="P105" s="66"/>
      <c r="Q105" s="66"/>
      <c r="R105" s="25"/>
      <c r="S105" s="36"/>
      <c r="T105" s="53">
        <f t="shared" si="3"/>
        <v>120134.5</v>
      </c>
      <c r="U105" s="42"/>
      <c r="V105" s="42"/>
      <c r="W105" s="42"/>
      <c r="X105" s="42"/>
      <c r="Y105" s="42"/>
    </row>
    <row r="106" ht="15.75" customHeight="1" spans="1:25" x14ac:dyDescent="0.25">
      <c r="A106" s="25"/>
      <c r="B106" s="35"/>
      <c r="C106" s="25"/>
      <c r="D106" s="25"/>
      <c r="E106" s="53"/>
      <c r="F106" s="50"/>
      <c r="G106" s="25"/>
      <c r="H106" s="25"/>
      <c r="I106" s="65"/>
      <c r="J106" s="66"/>
      <c r="K106" s="66"/>
      <c r="L106" s="66"/>
      <c r="M106" s="66"/>
      <c r="N106" s="66"/>
      <c r="O106" s="66"/>
      <c r="P106" s="66"/>
      <c r="Q106" s="66"/>
      <c r="R106" s="25"/>
      <c r="S106" s="36"/>
      <c r="T106" s="53">
        <f t="shared" si="3"/>
        <v>120134.5</v>
      </c>
      <c r="U106" s="42"/>
      <c r="V106" s="42"/>
      <c r="W106" s="42"/>
      <c r="X106" s="42"/>
      <c r="Y106" s="42"/>
    </row>
    <row r="107" ht="15.75" customHeight="1" spans="1:25" x14ac:dyDescent="0.25">
      <c r="A107" s="25"/>
      <c r="B107" s="35"/>
      <c r="C107" s="25"/>
      <c r="D107" s="25"/>
      <c r="E107" s="53"/>
      <c r="F107" s="50"/>
      <c r="G107" s="35"/>
      <c r="H107" s="89"/>
      <c r="I107" s="53"/>
      <c r="J107" s="66"/>
      <c r="K107" s="66"/>
      <c r="L107" s="66"/>
      <c r="M107" s="66"/>
      <c r="N107" s="66"/>
      <c r="O107" s="66"/>
      <c r="P107" s="66"/>
      <c r="Q107" s="66"/>
      <c r="R107" s="25"/>
      <c r="S107" s="36"/>
      <c r="T107" s="53">
        <f t="shared" si="3"/>
        <v>120134.5</v>
      </c>
      <c r="U107" s="42"/>
      <c r="V107" s="42"/>
      <c r="W107" s="42"/>
      <c r="X107" s="42"/>
      <c r="Y107" s="42"/>
    </row>
    <row r="108" ht="15.75" customHeight="1" spans="1:25" x14ac:dyDescent="0.25">
      <c r="A108" s="25"/>
      <c r="B108" s="35"/>
      <c r="C108" s="25"/>
      <c r="D108" s="25"/>
      <c r="E108" s="53"/>
      <c r="F108" s="50"/>
      <c r="G108" s="35"/>
      <c r="H108" s="35"/>
      <c r="I108" s="53"/>
      <c r="J108" s="66"/>
      <c r="K108" s="66"/>
      <c r="L108" s="66"/>
      <c r="M108" s="66"/>
      <c r="N108" s="66"/>
      <c r="O108" s="66"/>
      <c r="P108" s="66"/>
      <c r="Q108" s="66"/>
      <c r="R108" s="25"/>
      <c r="S108" s="36"/>
      <c r="T108" s="53">
        <f t="shared" si="3"/>
        <v>120134.5</v>
      </c>
      <c r="U108" s="42"/>
      <c r="V108" s="42"/>
      <c r="W108" s="42"/>
      <c r="X108" s="42"/>
      <c r="Y108" s="42"/>
    </row>
    <row r="109" ht="15.75" customHeight="1" spans="1:25" x14ac:dyDescent="0.25">
      <c r="A109" s="25"/>
      <c r="B109" s="35"/>
      <c r="C109" s="25"/>
      <c r="D109" s="25"/>
      <c r="E109" s="53"/>
      <c r="F109" s="50"/>
      <c r="G109" s="35"/>
      <c r="H109" s="35"/>
      <c r="I109" s="53"/>
      <c r="J109" s="66"/>
      <c r="K109" s="66"/>
      <c r="L109" s="66"/>
      <c r="M109" s="66"/>
      <c r="N109" s="66"/>
      <c r="O109" s="66"/>
      <c r="P109" s="66"/>
      <c r="Q109" s="66"/>
      <c r="R109" s="25"/>
      <c r="S109" s="36"/>
      <c r="T109" s="53">
        <f t="shared" si="3"/>
        <v>120134.5</v>
      </c>
      <c r="U109" s="42"/>
      <c r="V109" s="42"/>
      <c r="W109" s="42"/>
      <c r="X109" s="42"/>
      <c r="Y109" s="42"/>
    </row>
    <row r="110" ht="15.75" customHeight="1" spans="1:25" x14ac:dyDescent="0.25">
      <c r="A110" s="25"/>
      <c r="B110" s="35"/>
      <c r="C110" s="25"/>
      <c r="D110" s="48"/>
      <c r="E110" s="93"/>
      <c r="F110" s="94"/>
      <c r="G110" s="95"/>
      <c r="H110" s="95"/>
      <c r="I110" s="53"/>
      <c r="J110" s="66"/>
      <c r="K110" s="66"/>
      <c r="L110" s="66"/>
      <c r="M110" s="66"/>
      <c r="N110" s="66"/>
      <c r="O110" s="66"/>
      <c r="P110" s="66"/>
      <c r="Q110" s="66"/>
      <c r="R110" s="25"/>
      <c r="S110" s="36"/>
      <c r="T110" s="53">
        <f t="shared" si="3"/>
        <v>120134.5</v>
      </c>
      <c r="U110" s="42"/>
      <c r="V110" s="42"/>
      <c r="W110" s="42"/>
      <c r="X110" s="42"/>
      <c r="Y110" s="42"/>
    </row>
    <row r="111" ht="15.75" customHeight="1" spans="1:25" x14ac:dyDescent="0.25">
      <c r="A111" s="25"/>
      <c r="B111" s="35"/>
      <c r="C111" s="45"/>
      <c r="D111" s="26"/>
      <c r="E111" s="17"/>
      <c r="F111" s="57"/>
      <c r="G111" s="29"/>
      <c r="H111" s="29"/>
      <c r="I111" s="53"/>
      <c r="J111" s="66"/>
      <c r="K111" s="66"/>
      <c r="L111" s="66"/>
      <c r="M111" s="66"/>
      <c r="N111" s="66"/>
      <c r="O111" s="66"/>
      <c r="P111" s="66"/>
      <c r="Q111" s="66"/>
      <c r="R111" s="25"/>
      <c r="S111" s="36"/>
      <c r="T111" s="53">
        <f t="shared" si="3"/>
        <v>120134.5</v>
      </c>
      <c r="U111" s="42"/>
      <c r="V111" s="42"/>
      <c r="W111" s="42"/>
      <c r="X111" s="42"/>
      <c r="Y111" s="42"/>
    </row>
    <row r="112" ht="15.75" customHeight="1" spans="1:25" x14ac:dyDescent="0.25">
      <c r="A112" s="25"/>
      <c r="B112" s="35"/>
      <c r="C112" s="25"/>
      <c r="D112" s="25"/>
      <c r="E112" s="53"/>
      <c r="F112" s="50"/>
      <c r="G112" s="35"/>
      <c r="H112" s="35"/>
      <c r="I112" s="53"/>
      <c r="J112" s="66"/>
      <c r="K112" s="67"/>
      <c r="L112" s="66"/>
      <c r="M112" s="66"/>
      <c r="N112" s="66"/>
      <c r="O112" s="66"/>
      <c r="P112" s="66"/>
      <c r="Q112" s="66"/>
      <c r="R112" s="25"/>
      <c r="S112" s="36"/>
      <c r="T112" s="53">
        <f t="shared" si="3"/>
        <v>120134.5</v>
      </c>
      <c r="U112" s="42"/>
      <c r="V112" s="42"/>
      <c r="W112" s="42"/>
      <c r="X112" s="42"/>
      <c r="Y112" s="42"/>
    </row>
    <row r="113" ht="15.75" customHeight="1" spans="1:25" x14ac:dyDescent="0.25">
      <c r="A113" s="25"/>
      <c r="B113" s="35"/>
      <c r="C113" s="25"/>
      <c r="D113" s="25"/>
      <c r="E113" s="53"/>
      <c r="F113" s="50"/>
      <c r="G113" s="35"/>
      <c r="H113" s="35"/>
      <c r="I113" s="53"/>
      <c r="J113" s="66"/>
      <c r="K113" s="66"/>
      <c r="L113" s="66"/>
      <c r="M113" s="67"/>
      <c r="N113" s="66"/>
      <c r="O113" s="66"/>
      <c r="P113" s="66"/>
      <c r="Q113" s="66"/>
      <c r="R113" s="25"/>
      <c r="S113" s="36"/>
      <c r="T113" s="53">
        <f t="shared" si="3"/>
        <v>120134.5</v>
      </c>
      <c r="U113" s="42"/>
      <c r="V113" s="42"/>
      <c r="W113" s="42"/>
      <c r="X113" s="42"/>
      <c r="Y113" s="42"/>
    </row>
    <row r="114" ht="15.75" customHeight="1" spans="1:25" x14ac:dyDescent="0.25">
      <c r="A114" s="25"/>
      <c r="B114" s="35"/>
      <c r="C114" s="25"/>
      <c r="D114" s="25"/>
      <c r="E114" s="53"/>
      <c r="F114" s="50"/>
      <c r="G114" s="35"/>
      <c r="H114" s="35"/>
      <c r="I114" s="53"/>
      <c r="J114" s="66"/>
      <c r="K114" s="66"/>
      <c r="L114" s="66"/>
      <c r="M114" s="67"/>
      <c r="N114" s="66"/>
      <c r="O114" s="66"/>
      <c r="P114" s="66"/>
      <c r="Q114" s="66"/>
      <c r="R114" s="25"/>
      <c r="S114" s="36"/>
      <c r="T114" s="53">
        <f t="shared" si="3"/>
        <v>120134.5</v>
      </c>
      <c r="U114" s="42"/>
      <c r="V114" s="42"/>
      <c r="W114" s="42"/>
      <c r="X114" s="42"/>
      <c r="Y114" s="42"/>
    </row>
    <row r="115" ht="15.75" customHeight="1" spans="1:25" x14ac:dyDescent="0.25">
      <c r="A115" s="25"/>
      <c r="B115" s="35"/>
      <c r="C115" s="25"/>
      <c r="D115" s="25"/>
      <c r="E115" s="53"/>
      <c r="F115" s="50"/>
      <c r="G115" s="35"/>
      <c r="H115" s="35"/>
      <c r="I115" s="53"/>
      <c r="J115" s="66"/>
      <c r="K115" s="66"/>
      <c r="L115" s="66"/>
      <c r="M115" s="66"/>
      <c r="N115" s="66"/>
      <c r="O115" s="66"/>
      <c r="P115" s="67"/>
      <c r="Q115" s="66"/>
      <c r="R115" s="25"/>
      <c r="S115" s="36"/>
      <c r="T115" s="53">
        <f t="shared" si="3"/>
        <v>120134.5</v>
      </c>
      <c r="U115" s="42"/>
      <c r="V115" s="42"/>
      <c r="W115" s="42"/>
      <c r="X115" s="42"/>
      <c r="Y115" s="42"/>
    </row>
    <row r="116" ht="15.75" customHeight="1" spans="1:25" x14ac:dyDescent="0.25">
      <c r="A116" s="25"/>
      <c r="B116" s="35"/>
      <c r="C116" s="25"/>
      <c r="D116" s="25"/>
      <c r="E116" s="53"/>
      <c r="F116" s="50"/>
      <c r="G116" s="35"/>
      <c r="H116" s="35"/>
      <c r="I116" s="53"/>
      <c r="J116" s="66"/>
      <c r="K116" s="66"/>
      <c r="L116" s="66"/>
      <c r="M116" s="66"/>
      <c r="N116" s="66"/>
      <c r="O116" s="66"/>
      <c r="P116" s="66"/>
      <c r="Q116" s="66"/>
      <c r="R116" s="25"/>
      <c r="S116" s="55"/>
      <c r="T116" s="53">
        <f t="shared" si="3"/>
        <v>120134.5</v>
      </c>
      <c r="U116" s="42"/>
      <c r="V116" s="42"/>
      <c r="W116" s="42"/>
      <c r="X116" s="42"/>
      <c r="Y116" s="42"/>
    </row>
    <row r="117" ht="15.75" customHeight="1" spans="1:25" x14ac:dyDescent="0.25">
      <c r="A117" s="25"/>
      <c r="B117" s="35"/>
      <c r="C117" s="25"/>
      <c r="D117" s="25"/>
      <c r="E117" s="53"/>
      <c r="F117" s="50"/>
      <c r="G117" s="35"/>
      <c r="H117" s="35"/>
      <c r="I117" s="53"/>
      <c r="J117" s="66"/>
      <c r="K117" s="66"/>
      <c r="L117" s="67"/>
      <c r="M117" s="66"/>
      <c r="N117" s="66"/>
      <c r="O117" s="66"/>
      <c r="P117" s="66"/>
      <c r="Q117" s="66"/>
      <c r="R117" s="25"/>
      <c r="S117" s="55"/>
      <c r="T117" s="53">
        <f t="shared" si="3"/>
        <v>120134.5</v>
      </c>
      <c r="U117" s="42"/>
      <c r="V117" s="42"/>
      <c r="W117" s="42"/>
      <c r="X117" s="42"/>
      <c r="Y117" s="42"/>
    </row>
    <row r="118" ht="15.75" customHeight="1" spans="1:25" x14ac:dyDescent="0.25">
      <c r="A118" s="25"/>
      <c r="B118" s="35"/>
      <c r="C118" s="25"/>
      <c r="D118" s="25"/>
      <c r="E118" s="53"/>
      <c r="F118" s="50"/>
      <c r="G118" s="35"/>
      <c r="H118" s="35"/>
      <c r="I118" s="53"/>
      <c r="J118" s="66"/>
      <c r="K118" s="66"/>
      <c r="L118" s="66"/>
      <c r="M118" s="67"/>
      <c r="N118" s="66"/>
      <c r="O118" s="66"/>
      <c r="P118" s="66"/>
      <c r="Q118" s="66"/>
      <c r="R118" s="25"/>
      <c r="S118" s="55"/>
      <c r="T118" s="53">
        <f t="shared" si="3"/>
        <v>120134.5</v>
      </c>
      <c r="U118" s="42"/>
      <c r="V118" s="42"/>
      <c r="W118" s="42"/>
      <c r="X118" s="42"/>
      <c r="Y118" s="42"/>
    </row>
    <row r="119" ht="15.75" customHeight="1" spans="1:25" x14ac:dyDescent="0.25">
      <c r="A119" s="25"/>
      <c r="B119" s="35"/>
      <c r="C119" s="25"/>
      <c r="D119" s="25"/>
      <c r="E119" s="53"/>
      <c r="F119" s="50"/>
      <c r="G119" s="35"/>
      <c r="H119" s="35"/>
      <c r="I119" s="53"/>
      <c r="J119" s="66"/>
      <c r="K119" s="66"/>
      <c r="L119" s="66"/>
      <c r="M119" s="66"/>
      <c r="N119" s="66"/>
      <c r="O119" s="66"/>
      <c r="P119" s="67"/>
      <c r="Q119" s="66"/>
      <c r="R119" s="25"/>
      <c r="S119" s="55"/>
      <c r="T119" s="53">
        <f t="shared" si="3"/>
        <v>120134.5</v>
      </c>
      <c r="U119" s="42"/>
      <c r="V119" s="42"/>
      <c r="W119" s="42"/>
      <c r="X119" s="42"/>
      <c r="Y119" s="42"/>
    </row>
    <row r="120" ht="15.75" customHeight="1" spans="1:25" x14ac:dyDescent="0.25">
      <c r="A120" s="25"/>
      <c r="B120" s="35"/>
      <c r="C120" s="25"/>
      <c r="D120" s="25"/>
      <c r="E120" s="53"/>
      <c r="F120" s="50"/>
      <c r="G120" s="25"/>
      <c r="H120" s="25"/>
      <c r="I120" s="65"/>
      <c r="J120" s="66"/>
      <c r="K120" s="66"/>
      <c r="L120" s="66"/>
      <c r="M120" s="66"/>
      <c r="N120" s="66"/>
      <c r="O120" s="66"/>
      <c r="P120" s="67"/>
      <c r="Q120" s="66"/>
      <c r="R120" s="25"/>
      <c r="S120" s="55"/>
      <c r="T120" s="53">
        <f t="shared" si="3"/>
        <v>120134.5</v>
      </c>
      <c r="U120" s="42"/>
      <c r="V120" s="42"/>
      <c r="W120" s="42"/>
      <c r="X120" s="42"/>
      <c r="Y120" s="42"/>
    </row>
    <row r="121" ht="15.75" customHeight="1" spans="1:25" x14ac:dyDescent="0.25">
      <c r="A121" s="25"/>
      <c r="B121" s="35"/>
      <c r="C121" s="25"/>
      <c r="D121" s="25"/>
      <c r="E121" s="53"/>
      <c r="F121" s="50"/>
      <c r="G121" s="25"/>
      <c r="H121" s="25"/>
      <c r="I121" s="65"/>
      <c r="J121" s="66"/>
      <c r="K121" s="66"/>
      <c r="L121" s="66"/>
      <c r="M121" s="66"/>
      <c r="N121" s="66"/>
      <c r="O121" s="66"/>
      <c r="P121" s="66"/>
      <c r="Q121" s="67"/>
      <c r="R121" s="25"/>
      <c r="S121" s="55"/>
      <c r="T121" s="53">
        <f t="shared" si="3"/>
        <v>120134.5</v>
      </c>
      <c r="U121" s="42"/>
      <c r="V121" s="42"/>
      <c r="W121" s="42"/>
      <c r="X121" s="42"/>
      <c r="Y121" s="42"/>
    </row>
    <row r="122" ht="15.75" customHeight="1" spans="1:25" x14ac:dyDescent="0.25">
      <c r="A122" s="25"/>
      <c r="B122" s="35"/>
      <c r="C122" s="25"/>
      <c r="D122" s="25"/>
      <c r="E122" s="53"/>
      <c r="F122" s="50"/>
      <c r="G122" s="25"/>
      <c r="H122" s="25"/>
      <c r="I122" s="65"/>
      <c r="J122" s="66"/>
      <c r="K122" s="66"/>
      <c r="L122" s="66"/>
      <c r="M122" s="66"/>
      <c r="N122" s="66"/>
      <c r="O122" s="66"/>
      <c r="P122" s="67"/>
      <c r="Q122" s="66"/>
      <c r="R122" s="25"/>
      <c r="S122" s="55"/>
      <c r="T122" s="53">
        <f t="shared" si="3"/>
        <v>120134.5</v>
      </c>
      <c r="U122" s="42"/>
      <c r="V122" s="42"/>
      <c r="W122" s="42"/>
      <c r="X122" s="42"/>
      <c r="Y122" s="42"/>
    </row>
    <row r="123" ht="15.75" customHeight="1" spans="1:25" x14ac:dyDescent="0.25">
      <c r="A123" s="25"/>
      <c r="B123" s="35"/>
      <c r="C123" s="25"/>
      <c r="D123" s="25"/>
      <c r="E123" s="53"/>
      <c r="F123" s="50"/>
      <c r="G123" s="35"/>
      <c r="H123" s="35"/>
      <c r="I123" s="53"/>
      <c r="J123" s="66"/>
      <c r="K123" s="66"/>
      <c r="L123" s="66"/>
      <c r="M123" s="66"/>
      <c r="N123" s="66"/>
      <c r="O123" s="66"/>
      <c r="P123" s="66"/>
      <c r="Q123" s="66"/>
      <c r="R123" s="25"/>
      <c r="S123" s="36"/>
      <c r="T123" s="53">
        <f t="shared" si="3"/>
        <v>120134.5</v>
      </c>
      <c r="U123" s="42"/>
      <c r="V123" s="42"/>
      <c r="W123" s="42"/>
      <c r="X123" s="42"/>
      <c r="Y123" s="42"/>
    </row>
    <row r="124" ht="15.75" customHeight="1" spans="1:25" x14ac:dyDescent="0.25">
      <c r="A124" s="25"/>
      <c r="B124" s="35"/>
      <c r="C124" s="25"/>
      <c r="D124" s="25"/>
      <c r="E124" s="53"/>
      <c r="F124" s="50"/>
      <c r="G124" s="25"/>
      <c r="H124" s="25"/>
      <c r="I124" s="65"/>
      <c r="J124" s="66"/>
      <c r="K124" s="66"/>
      <c r="L124" s="66"/>
      <c r="M124" s="66"/>
      <c r="N124" s="66"/>
      <c r="O124" s="66"/>
      <c r="P124" s="66"/>
      <c r="Q124" s="66"/>
      <c r="R124" s="25"/>
      <c r="S124" s="36"/>
      <c r="T124" s="53">
        <f t="shared" si="3"/>
        <v>120134.5</v>
      </c>
      <c r="U124" s="42"/>
      <c r="V124" s="42"/>
      <c r="W124" s="42"/>
      <c r="X124" s="42"/>
      <c r="Y124" s="42"/>
    </row>
    <row r="125" ht="15.75" customHeight="1" spans="1:25" x14ac:dyDescent="0.25">
      <c r="A125" s="25"/>
      <c r="B125" s="35"/>
      <c r="C125" s="25"/>
      <c r="D125" s="25"/>
      <c r="E125" s="53"/>
      <c r="F125" s="50"/>
      <c r="G125" s="25"/>
      <c r="H125" s="25"/>
      <c r="I125" s="65"/>
      <c r="J125" s="66"/>
      <c r="K125" s="66"/>
      <c r="L125" s="66"/>
      <c r="M125" s="66"/>
      <c r="N125" s="66"/>
      <c r="O125" s="66"/>
      <c r="P125" s="66"/>
      <c r="Q125" s="66"/>
      <c r="R125" s="25"/>
      <c r="S125" s="36"/>
      <c r="T125" s="53">
        <f t="shared" si="3"/>
        <v>120134.5</v>
      </c>
      <c r="U125" s="42"/>
      <c r="V125" s="42"/>
      <c r="W125" s="42"/>
      <c r="X125" s="42"/>
      <c r="Y125" s="42"/>
    </row>
    <row r="126" ht="15.75" customHeight="1" spans="1:25" x14ac:dyDescent="0.25">
      <c r="A126" s="25"/>
      <c r="B126" s="35"/>
      <c r="C126" s="25"/>
      <c r="D126" s="25"/>
      <c r="E126" s="53"/>
      <c r="F126" s="50"/>
      <c r="G126" s="25"/>
      <c r="H126" s="25"/>
      <c r="I126" s="65"/>
      <c r="J126" s="66"/>
      <c r="K126" s="66"/>
      <c r="L126" s="66"/>
      <c r="M126" s="66"/>
      <c r="N126" s="66"/>
      <c r="O126" s="66"/>
      <c r="P126" s="66"/>
      <c r="Q126" s="66"/>
      <c r="R126" s="25"/>
      <c r="S126" s="36"/>
      <c r="T126" s="53">
        <f t="shared" si="3"/>
        <v>120134.5</v>
      </c>
      <c r="U126" s="42"/>
      <c r="V126" s="42"/>
      <c r="W126" s="42"/>
      <c r="X126" s="42"/>
      <c r="Y126" s="42"/>
    </row>
    <row r="127" ht="15.75" customHeight="1" spans="1:25" x14ac:dyDescent="0.25">
      <c r="A127" s="25"/>
      <c r="B127" s="35"/>
      <c r="C127" s="25"/>
      <c r="D127" s="25"/>
      <c r="E127" s="53"/>
      <c r="F127" s="50"/>
      <c r="G127" s="25"/>
      <c r="H127" s="25"/>
      <c r="I127" s="65"/>
      <c r="J127" s="66"/>
      <c r="K127" s="66"/>
      <c r="L127" s="66"/>
      <c r="M127" s="66"/>
      <c r="N127" s="66"/>
      <c r="O127" s="66"/>
      <c r="P127" s="67"/>
      <c r="Q127" s="66"/>
      <c r="R127" s="25"/>
      <c r="S127" s="36"/>
      <c r="T127" s="53">
        <f t="shared" si="3"/>
        <v>120134.5</v>
      </c>
      <c r="U127" s="42"/>
      <c r="V127" s="42"/>
      <c r="W127" s="42"/>
      <c r="X127" s="42"/>
      <c r="Y127" s="42"/>
    </row>
    <row r="128" ht="15.75" customHeight="1" spans="1:25" x14ac:dyDescent="0.25">
      <c r="A128" s="25"/>
      <c r="B128" s="35"/>
      <c r="C128" s="25"/>
      <c r="D128" s="25"/>
      <c r="E128" s="53"/>
      <c r="F128" s="50"/>
      <c r="G128" s="25"/>
      <c r="H128" s="25"/>
      <c r="I128" s="65"/>
      <c r="J128" s="66"/>
      <c r="K128" s="66"/>
      <c r="L128" s="66"/>
      <c r="M128" s="66"/>
      <c r="N128" s="66"/>
      <c r="O128" s="66"/>
      <c r="P128" s="67"/>
      <c r="Q128" s="66"/>
      <c r="R128" s="25"/>
      <c r="S128" s="36"/>
      <c r="T128" s="53">
        <f t="shared" si="3"/>
        <v>120134.5</v>
      </c>
      <c r="U128" s="42"/>
      <c r="V128" s="42"/>
      <c r="W128" s="42"/>
      <c r="X128" s="42"/>
      <c r="Y128" s="42"/>
    </row>
    <row r="129" ht="15.75" customHeight="1" spans="1:25" x14ac:dyDescent="0.25">
      <c r="A129" s="25"/>
      <c r="B129" s="35"/>
      <c r="C129" s="25"/>
      <c r="D129" s="25"/>
      <c r="E129" s="53"/>
      <c r="F129" s="50"/>
      <c r="G129" s="35"/>
      <c r="H129" s="35"/>
      <c r="I129" s="53"/>
      <c r="J129" s="66"/>
      <c r="K129" s="66"/>
      <c r="L129" s="66"/>
      <c r="M129" s="67"/>
      <c r="N129" s="66"/>
      <c r="O129" s="66"/>
      <c r="P129" s="66"/>
      <c r="Q129" s="66"/>
      <c r="R129" s="25"/>
      <c r="S129" s="36"/>
      <c r="T129" s="53">
        <f t="shared" si="3"/>
        <v>120134.5</v>
      </c>
      <c r="U129" s="42"/>
      <c r="V129" s="42"/>
      <c r="W129" s="42"/>
      <c r="X129" s="42"/>
      <c r="Y129" s="42"/>
    </row>
    <row r="130" ht="15.75" customHeight="1" spans="1:25" x14ac:dyDescent="0.25">
      <c r="A130" s="25"/>
      <c r="B130" s="35"/>
      <c r="C130" s="25"/>
      <c r="D130" s="25"/>
      <c r="E130" s="53"/>
      <c r="F130" s="50"/>
      <c r="G130" s="35"/>
      <c r="H130" s="35"/>
      <c r="I130" s="53"/>
      <c r="J130" s="66"/>
      <c r="K130" s="66"/>
      <c r="L130" s="66"/>
      <c r="M130" s="66"/>
      <c r="N130" s="66"/>
      <c r="O130" s="66"/>
      <c r="P130" s="66"/>
      <c r="Q130" s="66"/>
      <c r="R130" s="25"/>
      <c r="S130" s="36"/>
      <c r="T130" s="53">
        <f t="shared" si="3"/>
        <v>120134.5</v>
      </c>
      <c r="U130" s="42"/>
      <c r="V130" s="42"/>
      <c r="W130" s="42"/>
      <c r="X130" s="42"/>
      <c r="Y130" s="42"/>
    </row>
    <row r="131" ht="15.75" customHeight="1" spans="1:25" x14ac:dyDescent="0.25">
      <c r="A131" s="25"/>
      <c r="B131" s="35"/>
      <c r="C131" s="25"/>
      <c r="D131" s="25"/>
      <c r="E131" s="53"/>
      <c r="F131" s="50"/>
      <c r="G131" s="35"/>
      <c r="H131" s="35"/>
      <c r="I131" s="53"/>
      <c r="J131" s="66"/>
      <c r="K131" s="66"/>
      <c r="L131" s="66"/>
      <c r="M131" s="66"/>
      <c r="N131" s="66"/>
      <c r="O131" s="66"/>
      <c r="P131" s="67"/>
      <c r="Q131" s="66"/>
      <c r="R131" s="25"/>
      <c r="S131" s="36"/>
      <c r="T131" s="53">
        <f t="shared" si="3"/>
        <v>120134.5</v>
      </c>
      <c r="U131" s="42"/>
      <c r="V131" s="42"/>
      <c r="W131" s="42"/>
      <c r="X131" s="42"/>
      <c r="Y131" s="42"/>
    </row>
    <row r="132" ht="15.75" customHeight="1" spans="1:25" x14ac:dyDescent="0.25">
      <c r="A132" s="25"/>
      <c r="B132" s="35"/>
      <c r="C132" s="25"/>
      <c r="D132" s="25"/>
      <c r="E132" s="53"/>
      <c r="F132" s="50"/>
      <c r="G132" s="35"/>
      <c r="H132" s="35"/>
      <c r="I132" s="53"/>
      <c r="J132" s="66"/>
      <c r="K132" s="66"/>
      <c r="L132" s="66"/>
      <c r="M132" s="66"/>
      <c r="N132" s="66"/>
      <c r="O132" s="66"/>
      <c r="P132" s="67"/>
      <c r="Q132" s="66"/>
      <c r="R132" s="25"/>
      <c r="S132" s="36"/>
      <c r="T132" s="53">
        <f t="shared" si="3"/>
        <v>120134.5</v>
      </c>
      <c r="U132" s="42"/>
      <c r="V132" s="42"/>
      <c r="W132" s="42"/>
      <c r="X132" s="42"/>
      <c r="Y132" s="42"/>
    </row>
    <row r="133" ht="15.75" customHeight="1" spans="1:25" x14ac:dyDescent="0.25">
      <c r="A133" s="25"/>
      <c r="B133" s="35"/>
      <c r="C133" s="25"/>
      <c r="D133" s="25"/>
      <c r="E133" s="53"/>
      <c r="F133" s="50"/>
      <c r="G133" s="35"/>
      <c r="H133" s="35"/>
      <c r="I133" s="53"/>
      <c r="J133" s="66"/>
      <c r="K133" s="66"/>
      <c r="L133" s="66"/>
      <c r="M133" s="67"/>
      <c r="N133" s="66"/>
      <c r="O133" s="66"/>
      <c r="P133" s="66"/>
      <c r="Q133" s="66"/>
      <c r="R133" s="25"/>
      <c r="S133" s="36"/>
      <c r="T133" s="53">
        <f t="shared" si="3"/>
        <v>120134.5</v>
      </c>
      <c r="U133" s="42"/>
      <c r="V133" s="42"/>
      <c r="W133" s="42"/>
      <c r="X133" s="42"/>
      <c r="Y133" s="42"/>
    </row>
    <row r="134" ht="15.75" customHeight="1" spans="1:25" x14ac:dyDescent="0.25">
      <c r="A134" s="25"/>
      <c r="B134" s="35"/>
      <c r="C134" s="25"/>
      <c r="D134" s="25"/>
      <c r="E134" s="53"/>
      <c r="F134" s="50"/>
      <c r="G134" s="35"/>
      <c r="H134" s="35"/>
      <c r="I134" s="53"/>
      <c r="J134" s="66"/>
      <c r="K134" s="67"/>
      <c r="L134" s="66"/>
      <c r="M134" s="66"/>
      <c r="N134" s="66"/>
      <c r="O134" s="66"/>
      <c r="P134" s="66"/>
      <c r="Q134" s="66"/>
      <c r="R134" s="25"/>
      <c r="S134" s="36"/>
      <c r="T134" s="53">
        <f t="shared" si="3"/>
        <v>120134.5</v>
      </c>
      <c r="U134" s="42"/>
      <c r="V134" s="42"/>
      <c r="W134" s="42"/>
      <c r="X134" s="42"/>
      <c r="Y134" s="42"/>
    </row>
    <row r="135" ht="15.75" customHeight="1" spans="1:25" x14ac:dyDescent="0.25">
      <c r="A135" s="25"/>
      <c r="B135" s="35"/>
      <c r="C135" s="25"/>
      <c r="D135" s="25"/>
      <c r="E135" s="53"/>
      <c r="F135" s="50"/>
      <c r="G135" s="25"/>
      <c r="H135" s="25"/>
      <c r="I135" s="65"/>
      <c r="J135" s="66"/>
      <c r="K135" s="66"/>
      <c r="L135" s="66"/>
      <c r="M135" s="66"/>
      <c r="N135" s="66"/>
      <c r="O135" s="66"/>
      <c r="P135" s="67"/>
      <c r="Q135" s="66"/>
      <c r="R135" s="25"/>
      <c r="S135" s="36"/>
      <c r="T135" s="53">
        <f t="shared" si="3"/>
        <v>120134.5</v>
      </c>
      <c r="U135" s="42"/>
      <c r="V135" s="42"/>
      <c r="W135" s="42"/>
      <c r="X135" s="42"/>
      <c r="Y135" s="42"/>
    </row>
    <row r="136" ht="15.75" customHeight="1" spans="1:25" x14ac:dyDescent="0.25">
      <c r="A136" s="25"/>
      <c r="B136" s="35"/>
      <c r="C136" s="25"/>
      <c r="D136" s="25"/>
      <c r="E136" s="53"/>
      <c r="F136" s="50"/>
      <c r="G136" s="25"/>
      <c r="H136" s="25"/>
      <c r="I136" s="65"/>
      <c r="J136" s="66"/>
      <c r="K136" s="66"/>
      <c r="L136" s="66"/>
      <c r="M136" s="66"/>
      <c r="N136" s="66"/>
      <c r="O136" s="66"/>
      <c r="P136" s="66"/>
      <c r="Q136" s="66"/>
      <c r="R136" s="35"/>
      <c r="S136" s="36"/>
      <c r="T136" s="53">
        <f t="shared" si="3"/>
        <v>120134.5</v>
      </c>
      <c r="U136" s="42"/>
      <c r="V136" s="42"/>
      <c r="W136" s="42"/>
      <c r="X136" s="42"/>
      <c r="Y136" s="42"/>
    </row>
    <row r="137" ht="15.75" customHeight="1" spans="1:25" x14ac:dyDescent="0.25">
      <c r="A137" s="25"/>
      <c r="B137" s="35"/>
      <c r="C137" s="25"/>
      <c r="D137" s="25"/>
      <c r="E137" s="53"/>
      <c r="F137" s="50"/>
      <c r="G137" s="35"/>
      <c r="H137" s="35"/>
      <c r="I137" s="53"/>
      <c r="J137" s="66"/>
      <c r="K137" s="66"/>
      <c r="L137" s="66"/>
      <c r="M137" s="66"/>
      <c r="N137" s="66"/>
      <c r="O137" s="66"/>
      <c r="P137" s="66"/>
      <c r="Q137" s="66"/>
      <c r="R137" s="25"/>
      <c r="S137" s="36"/>
      <c r="T137" s="53">
        <f t="shared" si="3"/>
        <v>120134.5</v>
      </c>
      <c r="U137" s="42"/>
      <c r="V137" s="42"/>
      <c r="W137" s="42"/>
      <c r="X137" s="42"/>
      <c r="Y137" s="42"/>
    </row>
    <row r="138" ht="15.75" customHeight="1" spans="1:25" x14ac:dyDescent="0.25">
      <c r="A138" s="25"/>
      <c r="B138" s="35"/>
      <c r="C138" s="25"/>
      <c r="D138" s="25"/>
      <c r="E138" s="53"/>
      <c r="F138" s="50"/>
      <c r="G138" s="35"/>
      <c r="H138" s="35"/>
      <c r="I138" s="53"/>
      <c r="J138" s="66"/>
      <c r="K138" s="66"/>
      <c r="L138" s="66"/>
      <c r="M138" s="66"/>
      <c r="N138" s="66"/>
      <c r="O138" s="66"/>
      <c r="P138" s="66"/>
      <c r="Q138" s="66"/>
      <c r="R138" s="25"/>
      <c r="S138" s="36"/>
      <c r="T138" s="53">
        <f t="shared" si="3"/>
        <v>120134.5</v>
      </c>
      <c r="U138" s="42"/>
      <c r="V138" s="42"/>
      <c r="W138" s="42"/>
      <c r="X138" s="42"/>
      <c r="Y138" s="42"/>
    </row>
    <row r="139" ht="15.75" customHeight="1" spans="1:25" x14ac:dyDescent="0.25">
      <c r="A139" s="25"/>
      <c r="B139" s="35"/>
      <c r="C139" s="25"/>
      <c r="D139" s="25"/>
      <c r="E139" s="53"/>
      <c r="F139" s="50"/>
      <c r="G139" s="25"/>
      <c r="H139" s="25"/>
      <c r="I139" s="65"/>
      <c r="J139" s="66"/>
      <c r="K139" s="66"/>
      <c r="L139" s="66"/>
      <c r="M139" s="66"/>
      <c r="N139" s="66"/>
      <c r="O139" s="66"/>
      <c r="P139" s="67"/>
      <c r="Q139" s="66"/>
      <c r="R139" s="25"/>
      <c r="S139" s="36"/>
      <c r="T139" s="53">
        <f t="shared" si="3"/>
        <v>120134.5</v>
      </c>
      <c r="U139" s="42"/>
      <c r="V139" s="42"/>
      <c r="W139" s="42"/>
      <c r="X139" s="42"/>
      <c r="Y139" s="42"/>
    </row>
    <row r="140" ht="15.75" customHeight="1" spans="1:25" x14ac:dyDescent="0.25">
      <c r="A140" s="25"/>
      <c r="B140" s="35"/>
      <c r="C140" s="25"/>
      <c r="D140" s="25"/>
      <c r="E140" s="53"/>
      <c r="F140" s="50"/>
      <c r="G140" s="35"/>
      <c r="H140" s="35"/>
      <c r="I140" s="53"/>
      <c r="J140" s="66"/>
      <c r="K140" s="66"/>
      <c r="L140" s="66"/>
      <c r="M140" s="66"/>
      <c r="N140" s="66"/>
      <c r="O140" s="66"/>
      <c r="P140" s="66"/>
      <c r="Q140" s="66"/>
      <c r="R140" s="25"/>
      <c r="S140" s="36"/>
      <c r="T140" s="53">
        <f t="shared" si="3"/>
        <v>120134.5</v>
      </c>
      <c r="U140" s="42"/>
      <c r="V140" s="42"/>
      <c r="W140" s="42"/>
      <c r="X140" s="42"/>
      <c r="Y140" s="42"/>
    </row>
    <row r="141" ht="15.75" customHeight="1" spans="1:25" x14ac:dyDescent="0.25">
      <c r="A141" s="25"/>
      <c r="B141" s="35"/>
      <c r="C141" s="25"/>
      <c r="D141" s="25"/>
      <c r="E141" s="53"/>
      <c r="F141" s="50"/>
      <c r="G141" s="25"/>
      <c r="H141" s="25"/>
      <c r="I141" s="65"/>
      <c r="J141" s="66"/>
      <c r="K141" s="66"/>
      <c r="L141" s="66"/>
      <c r="M141" s="67"/>
      <c r="N141" s="66"/>
      <c r="O141" s="66"/>
      <c r="P141" s="66"/>
      <c r="Q141" s="66"/>
      <c r="R141" s="25"/>
      <c r="S141" s="36"/>
      <c r="T141" s="53">
        <f t="shared" si="3"/>
        <v>120134.5</v>
      </c>
      <c r="U141" s="42"/>
      <c r="V141" s="42"/>
      <c r="W141" s="42"/>
      <c r="X141" s="42"/>
      <c r="Y141" s="42"/>
    </row>
    <row r="142" ht="15.75" customHeight="1" spans="1:25" x14ac:dyDescent="0.25">
      <c r="A142" s="25"/>
      <c r="B142" s="35"/>
      <c r="C142" s="25"/>
      <c r="D142" s="25"/>
      <c r="E142" s="53"/>
      <c r="F142" s="50"/>
      <c r="G142" s="35"/>
      <c r="H142" s="35"/>
      <c r="I142" s="53"/>
      <c r="J142" s="66"/>
      <c r="K142" s="66"/>
      <c r="L142" s="66"/>
      <c r="M142" s="66"/>
      <c r="N142" s="66"/>
      <c r="O142" s="66"/>
      <c r="P142" s="66"/>
      <c r="Q142" s="66"/>
      <c r="R142" s="25"/>
      <c r="S142" s="36"/>
      <c r="T142" s="53">
        <f t="shared" si="3"/>
        <v>120134.5</v>
      </c>
      <c r="U142" s="42"/>
      <c r="V142" s="42"/>
      <c r="W142" s="42"/>
      <c r="X142" s="42"/>
      <c r="Y142" s="42"/>
    </row>
    <row r="143" ht="15.75" customHeight="1" spans="1:25" x14ac:dyDescent="0.25">
      <c r="A143" s="25"/>
      <c r="B143" s="35"/>
      <c r="C143" s="25"/>
      <c r="D143" s="25"/>
      <c r="E143" s="53"/>
      <c r="F143" s="50"/>
      <c r="G143" s="25"/>
      <c r="H143" s="25"/>
      <c r="I143" s="65"/>
      <c r="J143" s="66"/>
      <c r="K143" s="66"/>
      <c r="L143" s="66"/>
      <c r="M143" s="66"/>
      <c r="N143" s="66"/>
      <c r="O143" s="66"/>
      <c r="P143" s="66"/>
      <c r="Q143" s="67"/>
      <c r="R143" s="25"/>
      <c r="S143" s="36"/>
      <c r="T143" s="53">
        <f t="shared" si="3"/>
        <v>120134.5</v>
      </c>
      <c r="U143" s="42"/>
      <c r="V143" s="42"/>
      <c r="W143" s="42"/>
      <c r="X143" s="42"/>
      <c r="Y143" s="42"/>
    </row>
    <row r="144" ht="15.75" customHeight="1" spans="1:25" x14ac:dyDescent="0.25">
      <c r="A144" s="25"/>
      <c r="B144" s="35"/>
      <c r="C144" s="25"/>
      <c r="D144" s="25"/>
      <c r="E144" s="53"/>
      <c r="F144" s="50"/>
      <c r="G144" s="25"/>
      <c r="H144" s="35"/>
      <c r="I144" s="53"/>
      <c r="J144" s="66"/>
      <c r="K144" s="66"/>
      <c r="L144" s="66"/>
      <c r="M144" s="66"/>
      <c r="N144" s="66"/>
      <c r="O144" s="66"/>
      <c r="P144" s="66"/>
      <c r="Q144" s="66"/>
      <c r="R144" s="25"/>
      <c r="S144" s="36"/>
      <c r="T144" s="53">
        <f t="shared" si="3"/>
        <v>120134.5</v>
      </c>
      <c r="U144" s="42"/>
      <c r="V144" s="42"/>
      <c r="W144" s="42"/>
      <c r="X144" s="42"/>
      <c r="Y144" s="42"/>
    </row>
    <row r="145" ht="15.75" customHeight="1" spans="1:25" x14ac:dyDescent="0.25">
      <c r="A145" s="25"/>
      <c r="B145" s="35"/>
      <c r="C145" s="25"/>
      <c r="D145" s="25"/>
      <c r="E145" s="53"/>
      <c r="F145" s="50"/>
      <c r="G145" s="35"/>
      <c r="H145" s="35"/>
      <c r="I145" s="53"/>
      <c r="J145" s="66"/>
      <c r="K145" s="66"/>
      <c r="L145" s="66"/>
      <c r="M145" s="66"/>
      <c r="N145" s="66"/>
      <c r="O145" s="66"/>
      <c r="P145" s="66"/>
      <c r="Q145" s="66"/>
      <c r="R145" s="25"/>
      <c r="S145" s="36"/>
      <c r="T145" s="53">
        <f t="shared" si="3"/>
        <v>120134.5</v>
      </c>
      <c r="U145" s="42"/>
      <c r="V145" s="42"/>
      <c r="W145" s="42"/>
      <c r="X145" s="42"/>
      <c r="Y145" s="42"/>
    </row>
    <row r="146" ht="15.75" customHeight="1" spans="1:25" x14ac:dyDescent="0.25">
      <c r="A146" s="25"/>
      <c r="B146" s="35"/>
      <c r="C146" s="25"/>
      <c r="D146" s="25"/>
      <c r="E146" s="53"/>
      <c r="F146" s="50"/>
      <c r="G146" s="35"/>
      <c r="H146" s="35"/>
      <c r="I146" s="53"/>
      <c r="J146" s="66"/>
      <c r="K146" s="66"/>
      <c r="L146" s="66"/>
      <c r="M146" s="66"/>
      <c r="N146" s="66"/>
      <c r="O146" s="66"/>
      <c r="P146" s="66"/>
      <c r="Q146" s="66"/>
      <c r="R146" s="25"/>
      <c r="S146" s="36"/>
      <c r="T146" s="53">
        <f t="shared" si="3"/>
        <v>120134.5</v>
      </c>
      <c r="U146" s="42"/>
      <c r="V146" s="42"/>
      <c r="W146" s="42"/>
      <c r="X146" s="42"/>
      <c r="Y146" s="42"/>
    </row>
    <row r="147" ht="15.75" customHeight="1" spans="1:25" x14ac:dyDescent="0.25">
      <c r="A147" s="25"/>
      <c r="B147" s="35"/>
      <c r="C147" s="25"/>
      <c r="D147" s="25"/>
      <c r="E147" s="53"/>
      <c r="F147" s="50"/>
      <c r="G147" s="35"/>
      <c r="H147" s="25"/>
      <c r="I147" s="65"/>
      <c r="J147" s="66"/>
      <c r="K147" s="66"/>
      <c r="L147" s="66"/>
      <c r="M147" s="66"/>
      <c r="N147" s="66"/>
      <c r="O147" s="66"/>
      <c r="P147" s="66"/>
      <c r="Q147" s="66"/>
      <c r="R147" s="25"/>
      <c r="S147" s="36"/>
      <c r="T147" s="53">
        <f t="shared" si="3"/>
        <v>120134.5</v>
      </c>
      <c r="U147" s="42"/>
      <c r="V147" s="42"/>
      <c r="W147" s="42"/>
      <c r="X147" s="42"/>
      <c r="Y147" s="42"/>
    </row>
    <row r="148" ht="15.75" customHeight="1" spans="1:25" x14ac:dyDescent="0.25">
      <c r="A148" s="25"/>
      <c r="B148" s="35"/>
      <c r="C148" s="25"/>
      <c r="D148" s="25"/>
      <c r="E148" s="53"/>
      <c r="F148" s="68"/>
      <c r="G148" s="25"/>
      <c r="H148" s="25"/>
      <c r="I148" s="65"/>
      <c r="J148" s="66"/>
      <c r="K148" s="66"/>
      <c r="L148" s="66"/>
      <c r="M148" s="66"/>
      <c r="N148" s="66"/>
      <c r="O148" s="66"/>
      <c r="P148" s="67"/>
      <c r="Q148" s="66"/>
      <c r="R148" s="25"/>
      <c r="S148" s="36"/>
      <c r="T148" s="53">
        <f t="shared" si="3"/>
        <v>120134.5</v>
      </c>
      <c r="U148" s="42"/>
      <c r="V148" s="42"/>
      <c r="W148" s="42"/>
      <c r="X148" s="42"/>
      <c r="Y148" s="42"/>
    </row>
    <row r="149" ht="15.75" customHeight="1" spans="1:25" x14ac:dyDescent="0.25">
      <c r="A149" s="25"/>
      <c r="B149" s="35"/>
      <c r="C149" s="25"/>
      <c r="D149" s="25"/>
      <c r="E149" s="53"/>
      <c r="F149" s="50"/>
      <c r="G149" s="25"/>
      <c r="H149" s="35"/>
      <c r="I149" s="53"/>
      <c r="J149" s="66"/>
      <c r="K149" s="66"/>
      <c r="L149" s="66"/>
      <c r="M149" s="66"/>
      <c r="N149" s="66"/>
      <c r="O149" s="66"/>
      <c r="P149" s="66"/>
      <c r="Q149" s="66"/>
      <c r="R149" s="25"/>
      <c r="S149" s="36"/>
      <c r="T149" s="53">
        <f t="shared" si="3"/>
        <v>120134.5</v>
      </c>
      <c r="U149" s="42"/>
      <c r="V149" s="42"/>
      <c r="W149" s="42"/>
      <c r="X149" s="42"/>
      <c r="Y149" s="42"/>
    </row>
    <row r="150" ht="15.75" customHeight="1" spans="1:25" x14ac:dyDescent="0.25">
      <c r="A150" s="25"/>
      <c r="B150" s="35"/>
      <c r="C150" s="25"/>
      <c r="D150" s="25"/>
      <c r="E150" s="53"/>
      <c r="F150" s="50"/>
      <c r="G150" s="35"/>
      <c r="H150" s="25"/>
      <c r="I150" s="65"/>
      <c r="J150" s="66"/>
      <c r="K150" s="66"/>
      <c r="L150" s="66"/>
      <c r="M150" s="66"/>
      <c r="N150" s="66"/>
      <c r="O150" s="66"/>
      <c r="P150" s="66"/>
      <c r="Q150" s="66"/>
      <c r="R150" s="25"/>
      <c r="S150" s="36"/>
      <c r="T150" s="53">
        <f t="shared" si="3"/>
        <v>120134.5</v>
      </c>
      <c r="U150" s="42"/>
      <c r="V150" s="42"/>
      <c r="W150" s="42"/>
      <c r="X150" s="42"/>
      <c r="Y150" s="42"/>
    </row>
    <row r="151" ht="15.75" customHeight="1" spans="1:25" x14ac:dyDescent="0.25">
      <c r="A151" s="25"/>
      <c r="B151" s="35"/>
      <c r="C151" s="25"/>
      <c r="D151" s="25"/>
      <c r="E151" s="53"/>
      <c r="F151" s="50"/>
      <c r="G151" s="25"/>
      <c r="H151" s="25"/>
      <c r="I151" s="65"/>
      <c r="J151" s="66"/>
      <c r="K151" s="66"/>
      <c r="L151" s="66"/>
      <c r="M151" s="66"/>
      <c r="N151" s="66"/>
      <c r="O151" s="66"/>
      <c r="P151" s="66"/>
      <c r="Q151" s="66"/>
      <c r="R151" s="25"/>
      <c r="S151" s="36"/>
      <c r="T151" s="53">
        <f t="shared" si="3"/>
        <v>120134.5</v>
      </c>
      <c r="U151" s="42"/>
      <c r="V151" s="42"/>
      <c r="W151" s="42"/>
      <c r="X151" s="42"/>
      <c r="Y151" s="42"/>
    </row>
    <row r="152" ht="15.75" customHeight="1" spans="1:25" x14ac:dyDescent="0.25">
      <c r="A152" s="25"/>
      <c r="B152" s="35"/>
      <c r="C152" s="25"/>
      <c r="D152" s="25"/>
      <c r="E152" s="53"/>
      <c r="F152" s="50"/>
      <c r="G152" s="35"/>
      <c r="H152" s="25"/>
      <c r="I152" s="65"/>
      <c r="J152" s="66"/>
      <c r="K152" s="66"/>
      <c r="L152" s="66"/>
      <c r="M152" s="66"/>
      <c r="N152" s="66"/>
      <c r="O152" s="66"/>
      <c r="P152" s="66"/>
      <c r="Q152" s="66"/>
      <c r="R152" s="25"/>
      <c r="S152" s="36"/>
      <c r="T152" s="53">
        <f t="shared" si="3"/>
        <v>120134.5</v>
      </c>
      <c r="U152" s="42"/>
      <c r="V152" s="42"/>
      <c r="W152" s="42"/>
      <c r="X152" s="42"/>
      <c r="Y152" s="42"/>
    </row>
    <row r="153" ht="15.75" customHeight="1" spans="1:25" x14ac:dyDescent="0.25">
      <c r="A153" s="25"/>
      <c r="B153" s="35"/>
      <c r="C153" s="25"/>
      <c r="D153" s="25"/>
      <c r="E153" s="53"/>
      <c r="F153" s="50"/>
      <c r="G153" s="35"/>
      <c r="H153" s="25"/>
      <c r="I153" s="65"/>
      <c r="J153" s="66"/>
      <c r="K153" s="66"/>
      <c r="L153" s="66"/>
      <c r="M153" s="66"/>
      <c r="N153" s="66"/>
      <c r="O153" s="66"/>
      <c r="P153" s="66"/>
      <c r="Q153" s="66"/>
      <c r="R153" s="25"/>
      <c r="S153" s="36"/>
      <c r="T153" s="53">
        <f t="shared" si="3"/>
        <v>120134.5</v>
      </c>
      <c r="U153" s="42"/>
      <c r="V153" s="42"/>
      <c r="W153" s="42"/>
      <c r="X153" s="42"/>
      <c r="Y153" s="42"/>
    </row>
    <row r="154" ht="15.75" customHeight="1" spans="1:25" x14ac:dyDescent="0.25">
      <c r="A154" s="25"/>
      <c r="B154" s="35"/>
      <c r="C154" s="25"/>
      <c r="D154" s="25"/>
      <c r="E154" s="53"/>
      <c r="F154" s="50"/>
      <c r="G154" s="35"/>
      <c r="H154" s="25"/>
      <c r="I154" s="65"/>
      <c r="J154" s="66"/>
      <c r="K154" s="66"/>
      <c r="L154" s="66"/>
      <c r="M154" s="66"/>
      <c r="N154" s="66"/>
      <c r="O154" s="66"/>
      <c r="P154" s="66"/>
      <c r="Q154" s="66"/>
      <c r="R154" s="25"/>
      <c r="S154" s="36"/>
      <c r="T154" s="53">
        <f t="shared" si="3"/>
        <v>120134.5</v>
      </c>
      <c r="U154" s="42"/>
      <c r="V154" s="42"/>
      <c r="W154" s="42"/>
      <c r="X154" s="42"/>
      <c r="Y154" s="42"/>
    </row>
    <row r="155" ht="15.75" customHeight="1" spans="1:25" x14ac:dyDescent="0.25">
      <c r="A155" s="25"/>
      <c r="B155" s="35"/>
      <c r="C155" s="25"/>
      <c r="D155" s="25"/>
      <c r="E155" s="53"/>
      <c r="F155" s="50"/>
      <c r="G155" s="35"/>
      <c r="H155" s="25"/>
      <c r="I155" s="65"/>
      <c r="J155" s="66"/>
      <c r="K155" s="66"/>
      <c r="L155" s="66"/>
      <c r="M155" s="66"/>
      <c r="N155" s="66"/>
      <c r="O155" s="66"/>
      <c r="P155" s="66"/>
      <c r="Q155" s="66"/>
      <c r="R155" s="25"/>
      <c r="S155" s="36"/>
      <c r="T155" s="53">
        <f t="shared" si="3"/>
        <v>120134.5</v>
      </c>
      <c r="U155" s="42"/>
      <c r="V155" s="42"/>
      <c r="W155" s="42"/>
      <c r="X155" s="42"/>
      <c r="Y155" s="42"/>
    </row>
    <row r="156" ht="15.75" customHeight="1" spans="1:25" x14ac:dyDescent="0.25">
      <c r="A156" s="25"/>
      <c r="B156" s="35"/>
      <c r="C156" s="25"/>
      <c r="D156" s="25"/>
      <c r="E156" s="53"/>
      <c r="F156" s="50"/>
      <c r="G156" s="35"/>
      <c r="H156" s="25"/>
      <c r="I156" s="65"/>
      <c r="J156" s="67"/>
      <c r="K156" s="67"/>
      <c r="L156" s="67"/>
      <c r="M156" s="67"/>
      <c r="N156" s="67"/>
      <c r="O156" s="67"/>
      <c r="P156" s="67"/>
      <c r="Q156" s="67"/>
      <c r="R156" s="53"/>
      <c r="S156" s="36"/>
      <c r="T156" s="53">
        <f t="shared" si="3"/>
        <v>120134.5</v>
      </c>
      <c r="U156" s="42"/>
      <c r="V156" s="42"/>
      <c r="W156" s="42"/>
      <c r="X156" s="42"/>
      <c r="Y156" s="42"/>
    </row>
    <row r="157" ht="15.75" customHeight="1" spans="1:25" x14ac:dyDescent="0.25">
      <c r="A157" s="25"/>
      <c r="B157" s="35"/>
      <c r="C157" s="25"/>
      <c r="D157" s="25"/>
      <c r="E157" s="53"/>
      <c r="F157" s="50"/>
      <c r="G157" s="25"/>
      <c r="H157" s="26"/>
      <c r="I157" s="70"/>
      <c r="J157" s="71"/>
      <c r="K157" s="71"/>
      <c r="L157" s="71"/>
      <c r="M157" s="71"/>
      <c r="N157" s="71"/>
      <c r="O157" s="71"/>
      <c r="P157" s="71"/>
      <c r="Q157" s="71"/>
      <c r="R157" s="26"/>
      <c r="S157" s="37"/>
      <c r="T157" s="53">
        <f t="shared" si="3"/>
        <v>120134.5</v>
      </c>
      <c r="U157" s="42"/>
      <c r="V157" s="42"/>
      <c r="W157" s="42"/>
      <c r="X157" s="42"/>
      <c r="Y157" s="42"/>
    </row>
    <row r="158" ht="15.75" customHeight="1" spans="1:25" x14ac:dyDescent="0.25">
      <c r="A158" s="25"/>
      <c r="B158" s="35"/>
      <c r="C158" s="25"/>
      <c r="D158" s="25"/>
      <c r="E158" s="53"/>
      <c r="F158" s="50"/>
      <c r="G158" s="35"/>
      <c r="H158" s="26"/>
      <c r="I158" s="70"/>
      <c r="J158" s="71"/>
      <c r="K158" s="71"/>
      <c r="L158" s="71"/>
      <c r="M158" s="71"/>
      <c r="N158" s="71"/>
      <c r="O158" s="71"/>
      <c r="P158" s="71"/>
      <c r="Q158" s="71"/>
      <c r="R158" s="26"/>
      <c r="S158" s="37"/>
      <c r="T158" s="53">
        <f t="shared" si="3"/>
        <v>120134.5</v>
      </c>
      <c r="U158" s="42"/>
      <c r="V158" s="42"/>
      <c r="W158" s="42"/>
      <c r="X158" s="42"/>
      <c r="Y158" s="42"/>
    </row>
    <row r="159" ht="15.75" customHeight="1" spans="1:25" x14ac:dyDescent="0.25">
      <c r="A159" s="25"/>
      <c r="B159" s="35"/>
      <c r="C159" s="25"/>
      <c r="D159" s="25"/>
      <c r="E159" s="53"/>
      <c r="F159" s="50"/>
      <c r="G159" s="35"/>
      <c r="H159" s="26"/>
      <c r="I159" s="70"/>
      <c r="J159" s="71"/>
      <c r="K159" s="71"/>
      <c r="L159" s="71"/>
      <c r="M159" s="71"/>
      <c r="N159" s="71"/>
      <c r="O159" s="71"/>
      <c r="P159" s="71"/>
      <c r="Q159" s="71"/>
      <c r="R159" s="26"/>
      <c r="S159" s="37"/>
      <c r="T159" s="53">
        <f t="shared" si="3"/>
        <v>120134.5</v>
      </c>
      <c r="U159" s="42"/>
      <c r="V159" s="42"/>
      <c r="W159" s="42"/>
      <c r="X159" s="42"/>
      <c r="Y159" s="42"/>
    </row>
    <row r="160" ht="15.75" customHeight="1" spans="1:25" x14ac:dyDescent="0.25">
      <c r="A160" s="25"/>
      <c r="B160" s="35"/>
      <c r="C160" s="25"/>
      <c r="D160" s="25"/>
      <c r="E160" s="53"/>
      <c r="F160" s="50"/>
      <c r="G160" s="35"/>
      <c r="H160" s="26"/>
      <c r="I160" s="70"/>
      <c r="J160" s="71"/>
      <c r="K160" s="71"/>
      <c r="L160" s="71"/>
      <c r="M160" s="71"/>
      <c r="N160" s="71"/>
      <c r="O160" s="71"/>
      <c r="P160" s="71"/>
      <c r="Q160" s="71"/>
      <c r="R160" s="26"/>
      <c r="S160" s="37"/>
      <c r="T160" s="53">
        <f t="shared" si="3"/>
        <v>120134.5</v>
      </c>
      <c r="U160" s="42"/>
      <c r="V160" s="42"/>
      <c r="W160" s="42"/>
      <c r="X160" s="42"/>
      <c r="Y160" s="42"/>
    </row>
    <row r="161" ht="15.75" customHeight="1" spans="1:25" x14ac:dyDescent="0.25">
      <c r="A161" s="25"/>
      <c r="B161" s="35"/>
      <c r="C161" s="23"/>
      <c r="D161" s="25"/>
      <c r="E161" s="53"/>
      <c r="F161" s="50"/>
      <c r="G161" s="25"/>
      <c r="H161" s="26"/>
      <c r="I161" s="70"/>
      <c r="J161" s="71"/>
      <c r="K161" s="71"/>
      <c r="L161" s="71"/>
      <c r="M161" s="71"/>
      <c r="N161" s="71"/>
      <c r="O161" s="71"/>
      <c r="P161" s="71"/>
      <c r="Q161" s="71"/>
      <c r="R161" s="26"/>
      <c r="S161" s="37"/>
      <c r="T161" s="53">
        <f t="shared" si="3"/>
        <v>120134.5</v>
      </c>
      <c r="U161" s="42"/>
      <c r="V161" s="42"/>
      <c r="W161" s="42"/>
      <c r="X161" s="42"/>
      <c r="Y161" s="42"/>
    </row>
    <row r="162" ht="15.75" customHeight="1" spans="1:25" x14ac:dyDescent="0.25">
      <c r="A162" s="25"/>
      <c r="B162" s="35"/>
      <c r="C162" s="23"/>
      <c r="D162" s="25"/>
      <c r="E162" s="53"/>
      <c r="F162" s="50"/>
      <c r="G162" s="25"/>
      <c r="H162" s="26"/>
      <c r="I162" s="70"/>
      <c r="J162" s="71"/>
      <c r="K162" s="71"/>
      <c r="L162" s="71"/>
      <c r="M162" s="71"/>
      <c r="N162" s="71"/>
      <c r="O162" s="71"/>
      <c r="P162" s="71"/>
      <c r="Q162" s="71"/>
      <c r="R162" s="26"/>
      <c r="S162" s="37"/>
      <c r="T162" s="56">
        <f t="shared" si="3"/>
        <v>120134.5</v>
      </c>
      <c r="U162" s="42"/>
      <c r="V162" s="42"/>
      <c r="W162" s="42"/>
      <c r="X162" s="42"/>
      <c r="Y162" s="42"/>
    </row>
    <row r="163" ht="15.75" customHeight="1" spans="1:25" x14ac:dyDescent="0.25">
      <c r="A163" s="25"/>
      <c r="B163" s="35"/>
      <c r="C163" s="25"/>
      <c r="D163" s="23"/>
      <c r="E163" s="54"/>
      <c r="F163" s="50"/>
      <c r="G163" s="35"/>
      <c r="H163" s="26"/>
      <c r="I163" s="70"/>
      <c r="J163" s="71"/>
      <c r="K163" s="71"/>
      <c r="L163" s="71"/>
      <c r="M163" s="71"/>
      <c r="N163" s="71"/>
      <c r="O163" s="71"/>
      <c r="P163" s="71"/>
      <c r="Q163" s="71"/>
      <c r="R163" s="26"/>
      <c r="S163" s="37"/>
      <c r="T163" s="56">
        <f t="shared" si="3"/>
        <v>120134.5</v>
      </c>
      <c r="U163" s="42"/>
      <c r="V163" s="42"/>
      <c r="W163" s="42"/>
      <c r="X163" s="42"/>
      <c r="Y163" s="42"/>
    </row>
    <row r="164" ht="15.75" customHeight="1" spans="1:25" x14ac:dyDescent="0.25">
      <c r="A164" s="25"/>
      <c r="B164" s="35"/>
      <c r="C164" s="25"/>
      <c r="D164" s="23"/>
      <c r="E164" s="54"/>
      <c r="F164" s="50"/>
      <c r="G164" s="35"/>
      <c r="H164" s="26"/>
      <c r="I164" s="70"/>
      <c r="J164" s="71"/>
      <c r="K164" s="71"/>
      <c r="L164" s="71"/>
      <c r="M164" s="71"/>
      <c r="N164" s="71"/>
      <c r="O164" s="71"/>
      <c r="P164" s="71"/>
      <c r="Q164" s="71"/>
      <c r="R164" s="26"/>
      <c r="S164" s="37"/>
      <c r="T164" s="56">
        <f t="shared" si="3"/>
        <v>120134.5</v>
      </c>
      <c r="U164" s="42"/>
      <c r="V164" s="42"/>
      <c r="W164" s="42"/>
      <c r="X164" s="42"/>
      <c r="Y164" s="42"/>
    </row>
    <row r="165" ht="15.75" customHeight="1" spans="1:25" x14ac:dyDescent="0.25">
      <c r="A165" s="40"/>
      <c r="B165" s="35"/>
      <c r="C165" s="72"/>
      <c r="D165" s="40"/>
      <c r="E165" s="53"/>
      <c r="F165" s="50"/>
      <c r="G165" s="25"/>
      <c r="H165" s="25"/>
      <c r="I165" s="53"/>
      <c r="J165" s="71"/>
      <c r="K165" s="71"/>
      <c r="L165" s="71"/>
      <c r="M165" s="71"/>
      <c r="N165" s="71"/>
      <c r="O165" s="71"/>
      <c r="P165" s="71"/>
      <c r="Q165" s="71"/>
      <c r="R165" s="26"/>
      <c r="S165" s="37"/>
      <c r="T165" s="56">
        <f t="shared" si="3"/>
        <v>120134.5</v>
      </c>
      <c r="U165" s="42"/>
      <c r="V165" s="42"/>
      <c r="W165" s="42"/>
      <c r="X165" s="42"/>
      <c r="Y165" s="42"/>
    </row>
    <row r="166" ht="15.75" customHeight="1" spans="1:25" x14ac:dyDescent="0.25">
      <c r="A166" s="25"/>
      <c r="B166" s="35"/>
      <c r="C166" s="72"/>
      <c r="D166" s="40"/>
      <c r="E166" s="53"/>
      <c r="F166" s="50"/>
      <c r="G166" s="25"/>
      <c r="H166" s="25"/>
      <c r="I166" s="53"/>
      <c r="J166" s="71"/>
      <c r="K166" s="71"/>
      <c r="L166" s="71"/>
      <c r="M166" s="71"/>
      <c r="N166" s="71"/>
      <c r="O166" s="71"/>
      <c r="P166" s="71"/>
      <c r="Q166" s="71"/>
      <c r="R166" s="26"/>
      <c r="S166" s="37"/>
      <c r="T166" s="56">
        <f t="shared" si="3"/>
        <v>120134.5</v>
      </c>
      <c r="U166" s="42"/>
      <c r="V166" s="42"/>
      <c r="W166" s="42"/>
      <c r="X166" s="42"/>
      <c r="Y166" s="42"/>
    </row>
    <row r="167" ht="15.75" customHeight="1" spans="1:25" x14ac:dyDescent="0.25">
      <c r="A167" s="25"/>
      <c r="B167" s="35"/>
      <c r="C167" s="73"/>
      <c r="D167" s="72"/>
      <c r="E167" s="54"/>
      <c r="F167" s="50"/>
      <c r="G167" s="35"/>
      <c r="H167" s="35"/>
      <c r="I167" s="53"/>
      <c r="J167" s="71"/>
      <c r="K167" s="71"/>
      <c r="L167" s="71"/>
      <c r="M167" s="71"/>
      <c r="N167" s="71"/>
      <c r="O167" s="71"/>
      <c r="P167" s="71"/>
      <c r="Q167" s="71"/>
      <c r="R167" s="26"/>
      <c r="S167" s="37"/>
      <c r="T167" s="56">
        <f t="shared" si="3"/>
        <v>120134.5</v>
      </c>
      <c r="U167" s="42"/>
      <c r="V167" s="42"/>
      <c r="W167" s="42"/>
      <c r="X167" s="42"/>
      <c r="Y167" s="42"/>
    </row>
    <row r="168" ht="15.75" customHeight="1" spans="1:25" x14ac:dyDescent="0.25">
      <c r="A168" s="25"/>
      <c r="B168" s="35"/>
      <c r="C168" s="72"/>
      <c r="D168" s="72"/>
      <c r="E168" s="54"/>
      <c r="F168" s="50"/>
      <c r="G168" s="35"/>
      <c r="H168" s="35"/>
      <c r="I168" s="53"/>
      <c r="J168" s="71"/>
      <c r="K168" s="71"/>
      <c r="L168" s="71"/>
      <c r="M168" s="71"/>
      <c r="N168" s="71"/>
      <c r="O168" s="71"/>
      <c r="P168" s="71"/>
      <c r="Q168" s="71"/>
      <c r="R168" s="26"/>
      <c r="S168" s="37"/>
      <c r="T168" s="56">
        <f t="shared" si="3"/>
        <v>120134.5</v>
      </c>
      <c r="U168" s="42"/>
      <c r="V168" s="42"/>
      <c r="W168" s="42"/>
      <c r="X168" s="42"/>
      <c r="Y168" s="42"/>
    </row>
    <row r="169" ht="15.75" customHeight="1" spans="1:25" x14ac:dyDescent="0.25">
      <c r="A169" s="25"/>
      <c r="B169" s="35"/>
      <c r="C169" s="72"/>
      <c r="D169" s="40"/>
      <c r="E169" s="53"/>
      <c r="F169" s="50"/>
      <c r="G169" s="35"/>
      <c r="H169" s="35"/>
      <c r="I169" s="53"/>
      <c r="J169" s="71"/>
      <c r="K169" s="71"/>
      <c r="L169" s="71"/>
      <c r="M169" s="71"/>
      <c r="N169" s="71"/>
      <c r="O169" s="71"/>
      <c r="P169" s="71"/>
      <c r="Q169" s="71"/>
      <c r="R169" s="26"/>
      <c r="S169" s="37"/>
      <c r="T169" s="56">
        <f t="shared" si="3"/>
        <v>120134.5</v>
      </c>
      <c r="U169" s="42"/>
      <c r="V169" s="42"/>
      <c r="W169" s="42"/>
      <c r="X169" s="42"/>
      <c r="Y169" s="42"/>
    </row>
    <row r="170" ht="15.75" customHeight="1" spans="1:25" x14ac:dyDescent="0.25">
      <c r="A170" s="25"/>
      <c r="B170" s="35"/>
      <c r="C170" s="72"/>
      <c r="D170" s="40"/>
      <c r="E170" s="53"/>
      <c r="F170" s="50"/>
      <c r="G170" s="35"/>
      <c r="H170" s="35"/>
      <c r="I170" s="53"/>
      <c r="J170" s="71"/>
      <c r="K170" s="71"/>
      <c r="L170" s="71"/>
      <c r="M170" s="71"/>
      <c r="N170" s="71"/>
      <c r="O170" s="71"/>
      <c r="P170" s="71"/>
      <c r="Q170" s="71"/>
      <c r="R170" s="26"/>
      <c r="S170" s="37"/>
      <c r="T170" s="56">
        <f t="shared" si="3"/>
        <v>120134.5</v>
      </c>
      <c r="U170" s="42"/>
      <c r="V170" s="42"/>
      <c r="W170" s="42"/>
      <c r="X170" s="42"/>
      <c r="Y170" s="42"/>
    </row>
    <row r="171" ht="15.75" customHeight="1" spans="1:25" x14ac:dyDescent="0.25">
      <c r="A171" s="25"/>
      <c r="B171" s="35"/>
      <c r="C171" s="40"/>
      <c r="D171" s="72"/>
      <c r="E171" s="53"/>
      <c r="F171" s="50"/>
      <c r="G171" s="35"/>
      <c r="H171" s="35"/>
      <c r="I171" s="53"/>
      <c r="J171" s="71"/>
      <c r="K171" s="71"/>
      <c r="L171" s="71"/>
      <c r="M171" s="71"/>
      <c r="N171" s="71"/>
      <c r="O171" s="71"/>
      <c r="P171" s="71"/>
      <c r="Q171" s="71"/>
      <c r="R171" s="26"/>
      <c r="S171" s="37"/>
      <c r="T171" s="56">
        <f t="shared" si="3"/>
        <v>120134.5</v>
      </c>
      <c r="U171" s="42"/>
      <c r="V171" s="42"/>
      <c r="W171" s="42"/>
      <c r="X171" s="42"/>
      <c r="Y171" s="42"/>
    </row>
    <row r="172" ht="15.75" customHeight="1" spans="1:25" x14ac:dyDescent="0.25">
      <c r="A172" s="40"/>
      <c r="B172" s="35"/>
      <c r="C172" s="40"/>
      <c r="D172" s="40"/>
      <c r="E172" s="53"/>
      <c r="F172" s="50"/>
      <c r="G172" s="35"/>
      <c r="H172" s="35"/>
      <c r="I172" s="53"/>
      <c r="J172" s="71"/>
      <c r="K172" s="71"/>
      <c r="L172" s="71"/>
      <c r="M172" s="71"/>
      <c r="N172" s="71"/>
      <c r="O172" s="71"/>
      <c r="P172" s="71"/>
      <c r="Q172" s="71"/>
      <c r="R172" s="26"/>
      <c r="S172" s="37"/>
      <c r="T172" s="56">
        <f t="shared" si="3"/>
        <v>120134.5</v>
      </c>
      <c r="U172" s="42"/>
      <c r="V172" s="42"/>
      <c r="W172" s="42"/>
      <c r="X172" s="42"/>
      <c r="Y172" s="42"/>
    </row>
    <row r="173" ht="15.75" customHeight="1" spans="1:25" x14ac:dyDescent="0.25">
      <c r="A173" s="25"/>
      <c r="B173" s="35"/>
      <c r="C173" s="40"/>
      <c r="D173" s="72"/>
      <c r="E173" s="54"/>
      <c r="F173" s="50"/>
      <c r="G173" s="35"/>
      <c r="H173" s="35"/>
      <c r="I173" s="53"/>
      <c r="J173" s="71"/>
      <c r="K173" s="71"/>
      <c r="L173" s="71"/>
      <c r="M173" s="71"/>
      <c r="N173" s="71"/>
      <c r="O173" s="71"/>
      <c r="P173" s="71"/>
      <c r="Q173" s="71"/>
      <c r="R173" s="26"/>
      <c r="S173" s="37"/>
      <c r="T173" s="56">
        <f t="shared" si="3"/>
        <v>120134.5</v>
      </c>
      <c r="U173" s="42"/>
      <c r="V173" s="42"/>
      <c r="W173" s="42"/>
      <c r="X173" s="42"/>
      <c r="Y173" s="42"/>
    </row>
    <row r="174" ht="15.75" customHeight="1" spans="1:25" x14ac:dyDescent="0.25">
      <c r="A174" s="25"/>
      <c r="B174" s="35"/>
      <c r="C174" s="23"/>
      <c r="D174" s="23"/>
      <c r="E174" s="54"/>
      <c r="F174" s="50"/>
      <c r="G174" s="26"/>
      <c r="H174" s="26"/>
      <c r="I174" s="70"/>
      <c r="J174" s="71"/>
      <c r="K174" s="71"/>
      <c r="L174" s="71"/>
      <c r="M174" s="71"/>
      <c r="N174" s="71"/>
      <c r="O174" s="71"/>
      <c r="P174" s="71"/>
      <c r="Q174" s="71"/>
      <c r="R174" s="26"/>
      <c r="S174" s="37"/>
      <c r="T174" s="56">
        <f t="shared" si="3"/>
        <v>120134.5</v>
      </c>
      <c r="U174" s="42"/>
      <c r="V174" s="42"/>
      <c r="W174" s="42"/>
      <c r="X174" s="42"/>
      <c r="Y174" s="42"/>
    </row>
    <row r="175" ht="15.75" customHeight="1" spans="1:25" x14ac:dyDescent="0.25">
      <c r="A175" s="25"/>
      <c r="B175" s="35"/>
      <c r="C175" s="23"/>
      <c r="D175" s="25"/>
      <c r="E175" s="53"/>
      <c r="F175" s="50"/>
      <c r="G175" s="26"/>
      <c r="H175" s="26"/>
      <c r="I175" s="70"/>
      <c r="J175" s="71"/>
      <c r="K175" s="71"/>
      <c r="L175" s="71"/>
      <c r="M175" s="71"/>
      <c r="N175" s="71"/>
      <c r="O175" s="71"/>
      <c r="P175" s="71"/>
      <c r="Q175" s="71"/>
      <c r="R175" s="26"/>
      <c r="S175" s="37"/>
      <c r="T175" s="56">
        <f t="shared" si="3"/>
        <v>120134.5</v>
      </c>
      <c r="U175" s="42"/>
      <c r="V175" s="42"/>
      <c r="W175" s="42"/>
      <c r="X175" s="42"/>
      <c r="Y175" s="42"/>
    </row>
    <row r="176" ht="15.75" customHeight="1" spans="1:25" x14ac:dyDescent="0.25">
      <c r="A176" s="25"/>
      <c r="B176" s="35"/>
      <c r="C176" s="23"/>
      <c r="D176" s="25"/>
      <c r="E176" s="53"/>
      <c r="F176" s="50"/>
      <c r="G176" s="26"/>
      <c r="H176" s="26"/>
      <c r="I176" s="70"/>
      <c r="J176" s="71"/>
      <c r="K176" s="71"/>
      <c r="L176" s="71"/>
      <c r="M176" s="71"/>
      <c r="N176" s="71"/>
      <c r="O176" s="71"/>
      <c r="P176" s="71"/>
      <c r="Q176" s="71"/>
      <c r="R176" s="26"/>
      <c r="S176" s="37"/>
      <c r="T176" s="56">
        <f t="shared" si="3"/>
        <v>120134.5</v>
      </c>
      <c r="U176" s="42"/>
      <c r="V176" s="42"/>
      <c r="W176" s="42"/>
      <c r="X176" s="42"/>
      <c r="Y176" s="42"/>
    </row>
    <row r="177" ht="15.75" customHeight="1" spans="1:25" x14ac:dyDescent="0.25">
      <c r="A177" s="25"/>
      <c r="B177" s="35"/>
      <c r="C177" s="23"/>
      <c r="D177" s="25"/>
      <c r="E177" s="53"/>
      <c r="F177" s="68"/>
      <c r="G177" s="26"/>
      <c r="H177" s="26"/>
      <c r="I177" s="70"/>
      <c r="J177" s="71"/>
      <c r="K177" s="71"/>
      <c r="L177" s="71"/>
      <c r="M177" s="71"/>
      <c r="N177" s="71"/>
      <c r="O177" s="71"/>
      <c r="P177" s="71"/>
      <c r="Q177" s="71"/>
      <c r="R177" s="26"/>
      <c r="S177" s="37"/>
      <c r="T177" s="56">
        <f>T176-E177+16000</f>
        <v>136134.5</v>
      </c>
      <c r="U177" s="42"/>
      <c r="V177" s="42"/>
      <c r="W177" s="42"/>
      <c r="X177" s="42"/>
      <c r="Y177" s="42"/>
    </row>
    <row r="178" ht="15.75" customHeight="1" spans="1:25" x14ac:dyDescent="0.25">
      <c r="A178" s="25"/>
      <c r="B178" s="35"/>
      <c r="C178" s="25"/>
      <c r="D178" s="25"/>
      <c r="E178" s="53"/>
      <c r="F178" s="57"/>
      <c r="G178" s="26"/>
      <c r="H178" s="26"/>
      <c r="I178" s="70"/>
      <c r="J178" s="71"/>
      <c r="K178" s="71"/>
      <c r="L178" s="71"/>
      <c r="M178" s="71"/>
      <c r="N178" s="71"/>
      <c r="O178" s="71"/>
      <c r="P178" s="71"/>
      <c r="Q178" s="71"/>
      <c r="R178" s="26"/>
      <c r="S178" s="37"/>
      <c r="T178" s="56">
        <f t="shared" ref="T178:T179" si="4">T177-E178</f>
        <v>136134.5</v>
      </c>
      <c r="U178" s="42"/>
      <c r="V178" s="42"/>
      <c r="W178" s="42"/>
      <c r="X178" s="42"/>
      <c r="Y178" s="42"/>
    </row>
    <row r="179" ht="15.75" customHeight="1" spans="1:25" x14ac:dyDescent="0.25">
      <c r="A179" s="25"/>
      <c r="B179" s="35"/>
      <c r="C179" s="25"/>
      <c r="D179" s="25"/>
      <c r="E179" s="53"/>
      <c r="F179" s="57"/>
      <c r="G179" s="26"/>
      <c r="H179" s="26"/>
      <c r="I179" s="70"/>
      <c r="J179" s="71"/>
      <c r="K179" s="71"/>
      <c r="L179" s="71"/>
      <c r="M179" s="71"/>
      <c r="N179" s="71"/>
      <c r="O179" s="71"/>
      <c r="P179" s="71"/>
      <c r="Q179" s="71"/>
      <c r="R179" s="26"/>
      <c r="S179" s="37"/>
      <c r="T179" s="56">
        <f t="shared" si="4"/>
        <v>136134.5</v>
      </c>
      <c r="U179" s="42"/>
      <c r="V179" s="42"/>
      <c r="W179" s="42"/>
      <c r="X179" s="42"/>
      <c r="Y179" s="42"/>
    </row>
    <row r="180" ht="15.75" customHeight="1" spans="1:25" x14ac:dyDescent="0.25">
      <c r="A180" s="40"/>
      <c r="B180" s="25"/>
      <c r="C180" s="40"/>
      <c r="D180" s="25"/>
      <c r="E180" s="53"/>
      <c r="F180" s="68"/>
      <c r="G180" s="35"/>
      <c r="H180" s="35"/>
      <c r="I180" s="53"/>
      <c r="J180" s="71"/>
      <c r="K180" s="71"/>
      <c r="L180" s="71"/>
      <c r="M180" s="71"/>
      <c r="N180" s="71"/>
      <c r="O180" s="71"/>
      <c r="P180" s="71"/>
      <c r="Q180" s="71"/>
      <c r="R180" s="26"/>
      <c r="S180" s="37"/>
      <c r="T180" s="56">
        <f>T179-E180+120000</f>
        <v>256134.5</v>
      </c>
      <c r="U180" s="42"/>
      <c r="V180" s="42"/>
      <c r="W180" s="42"/>
      <c r="X180" s="42"/>
      <c r="Y180" s="42"/>
    </row>
    <row r="181" ht="15.75" customHeight="1" spans="1:25" x14ac:dyDescent="0.25">
      <c r="A181" s="26"/>
      <c r="B181" s="29"/>
      <c r="C181" s="38"/>
      <c r="D181" s="38"/>
      <c r="E181" s="56"/>
      <c r="F181" s="57"/>
      <c r="G181" s="26"/>
      <c r="H181" s="26"/>
      <c r="I181" s="70"/>
      <c r="J181" s="71"/>
      <c r="K181" s="71"/>
      <c r="L181" s="71"/>
      <c r="M181" s="71"/>
      <c r="N181" s="71"/>
      <c r="O181" s="71"/>
      <c r="P181" s="71"/>
      <c r="Q181" s="71"/>
      <c r="R181" s="26"/>
      <c r="S181" s="37"/>
      <c r="T181" s="56">
        <f t="shared" ref="T181:T213" si="5">T180-E181</f>
        <v>256134.5</v>
      </c>
      <c r="U181" s="42"/>
      <c r="V181" s="42"/>
      <c r="W181" s="42"/>
      <c r="X181" s="42"/>
      <c r="Y181" s="42"/>
    </row>
    <row r="182" ht="15.75" customHeight="1" spans="1:25" x14ac:dyDescent="0.25">
      <c r="A182" s="26"/>
      <c r="B182" s="29"/>
      <c r="C182" s="38"/>
      <c r="D182" s="38"/>
      <c r="E182" s="56"/>
      <c r="F182" s="57"/>
      <c r="G182" s="26"/>
      <c r="H182" s="26"/>
      <c r="I182" s="70"/>
      <c r="J182" s="71"/>
      <c r="K182" s="71"/>
      <c r="L182" s="71"/>
      <c r="M182" s="71"/>
      <c r="N182" s="71"/>
      <c r="O182" s="71"/>
      <c r="P182" s="71"/>
      <c r="Q182" s="71"/>
      <c r="R182" s="26"/>
      <c r="S182" s="37"/>
      <c r="T182" s="56">
        <f t="shared" si="5"/>
        <v>256134.5</v>
      </c>
      <c r="U182" s="42"/>
      <c r="V182" s="42"/>
      <c r="W182" s="42"/>
      <c r="X182" s="42"/>
      <c r="Y182" s="42"/>
    </row>
    <row r="183" ht="15.75" customHeight="1" spans="1:25" x14ac:dyDescent="0.25">
      <c r="A183" s="26"/>
      <c r="B183" s="29"/>
      <c r="C183" s="38"/>
      <c r="D183" s="38"/>
      <c r="E183" s="56"/>
      <c r="F183" s="57"/>
      <c r="G183" s="26"/>
      <c r="H183" s="26"/>
      <c r="I183" s="56"/>
      <c r="J183" s="71"/>
      <c r="K183" s="71"/>
      <c r="L183" s="71"/>
      <c r="M183" s="71"/>
      <c r="N183" s="71"/>
      <c r="O183" s="71"/>
      <c r="P183" s="71"/>
      <c r="Q183" s="71"/>
      <c r="R183" s="26"/>
      <c r="S183" s="37"/>
      <c r="T183" s="56">
        <f t="shared" si="5"/>
        <v>256134.5</v>
      </c>
      <c r="U183" s="42"/>
      <c r="V183" s="42"/>
      <c r="W183" s="42"/>
      <c r="X183" s="42"/>
      <c r="Y183" s="42"/>
    </row>
    <row r="184" ht="15.75" customHeight="1" spans="1:25" x14ac:dyDescent="0.25">
      <c r="A184" s="26"/>
      <c r="B184" s="29"/>
      <c r="C184" s="38"/>
      <c r="D184" s="38"/>
      <c r="E184" s="56"/>
      <c r="F184" s="57"/>
      <c r="G184" s="26"/>
      <c r="H184" s="26"/>
      <c r="I184" s="70"/>
      <c r="J184" s="71"/>
      <c r="K184" s="71"/>
      <c r="L184" s="71"/>
      <c r="M184" s="71"/>
      <c r="N184" s="71"/>
      <c r="O184" s="71"/>
      <c r="P184" s="71"/>
      <c r="Q184" s="71"/>
      <c r="R184" s="26"/>
      <c r="S184" s="37"/>
      <c r="T184" s="56">
        <f t="shared" si="5"/>
        <v>256134.5</v>
      </c>
      <c r="U184" s="42"/>
      <c r="V184" s="42"/>
      <c r="W184" s="42"/>
      <c r="X184" s="42"/>
      <c r="Y184" s="42"/>
    </row>
    <row r="185" ht="15.75" customHeight="1" spans="1:25" x14ac:dyDescent="0.25">
      <c r="A185" s="26"/>
      <c r="B185" s="29"/>
      <c r="C185" s="38"/>
      <c r="D185" s="38"/>
      <c r="E185" s="56"/>
      <c r="F185" s="57"/>
      <c r="G185" s="26"/>
      <c r="H185" s="26"/>
      <c r="I185" s="56"/>
      <c r="J185" s="71"/>
      <c r="K185" s="71"/>
      <c r="L185" s="71"/>
      <c r="M185" s="71"/>
      <c r="N185" s="71"/>
      <c r="O185" s="71"/>
      <c r="P185" s="71"/>
      <c r="Q185" s="71"/>
      <c r="R185" s="26"/>
      <c r="S185" s="37"/>
      <c r="T185" s="56">
        <f t="shared" si="5"/>
        <v>256134.5</v>
      </c>
      <c r="U185" s="42"/>
      <c r="V185" s="42"/>
      <c r="W185" s="42"/>
      <c r="X185" s="42"/>
      <c r="Y185" s="42"/>
    </row>
    <row r="186" ht="15.75" customHeight="1" spans="1:25" x14ac:dyDescent="0.25">
      <c r="A186" s="26"/>
      <c r="B186" s="29"/>
      <c r="C186" s="38"/>
      <c r="D186" s="38"/>
      <c r="E186" s="56"/>
      <c r="F186" s="57"/>
      <c r="G186" s="26"/>
      <c r="H186" s="26"/>
      <c r="I186" s="70"/>
      <c r="J186" s="71"/>
      <c r="K186" s="71"/>
      <c r="L186" s="71"/>
      <c r="M186" s="71"/>
      <c r="N186" s="71"/>
      <c r="O186" s="71"/>
      <c r="P186" s="71"/>
      <c r="Q186" s="71"/>
      <c r="R186" s="26"/>
      <c r="S186" s="37"/>
      <c r="T186" s="56">
        <f t="shared" si="5"/>
        <v>256134.5</v>
      </c>
      <c r="U186" s="42"/>
      <c r="V186" s="42"/>
      <c r="W186" s="42"/>
      <c r="X186" s="42"/>
      <c r="Y186" s="42"/>
    </row>
    <row r="187" ht="15.75" customHeight="1" spans="1:25" x14ac:dyDescent="0.25">
      <c r="A187" s="26"/>
      <c r="B187" s="29"/>
      <c r="C187" s="38"/>
      <c r="D187" s="38"/>
      <c r="E187" s="56"/>
      <c r="F187" s="57"/>
      <c r="G187" s="26"/>
      <c r="H187" s="26"/>
      <c r="I187" s="70"/>
      <c r="J187" s="71"/>
      <c r="K187" s="71"/>
      <c r="L187" s="71"/>
      <c r="M187" s="71"/>
      <c r="N187" s="71"/>
      <c r="O187" s="71"/>
      <c r="P187" s="71"/>
      <c r="Q187" s="71"/>
      <c r="R187" s="26"/>
      <c r="S187" s="37"/>
      <c r="T187" s="56">
        <f t="shared" si="5"/>
        <v>256134.5</v>
      </c>
      <c r="U187" s="42"/>
      <c r="V187" s="42"/>
      <c r="W187" s="42"/>
      <c r="X187" s="42"/>
      <c r="Y187" s="42"/>
    </row>
    <row r="188" ht="15.75" customHeight="1" spans="1:25" x14ac:dyDescent="0.25">
      <c r="A188" s="26"/>
      <c r="B188" s="29"/>
      <c r="C188" s="38"/>
      <c r="D188" s="38"/>
      <c r="E188" s="56"/>
      <c r="F188" s="57"/>
      <c r="G188" s="29"/>
      <c r="H188" s="29"/>
      <c r="I188" s="56"/>
      <c r="J188" s="71"/>
      <c r="K188" s="71"/>
      <c r="L188" s="71"/>
      <c r="M188" s="71"/>
      <c r="N188" s="71"/>
      <c r="O188" s="71"/>
      <c r="P188" s="71"/>
      <c r="Q188" s="71"/>
      <c r="R188" s="26"/>
      <c r="S188" s="37"/>
      <c r="T188" s="56">
        <f t="shared" si="5"/>
        <v>256134.5</v>
      </c>
      <c r="U188" s="42"/>
      <c r="V188" s="42"/>
      <c r="W188" s="42"/>
      <c r="X188" s="42"/>
      <c r="Y188" s="42"/>
    </row>
    <row r="189" ht="15.75" customHeight="1" spans="1:25" x14ac:dyDescent="0.25">
      <c r="A189" s="40"/>
      <c r="B189" s="35"/>
      <c r="C189" s="40"/>
      <c r="D189" s="40"/>
      <c r="E189" s="53"/>
      <c r="F189" s="50"/>
      <c r="G189" s="25"/>
      <c r="H189" s="25"/>
      <c r="I189" s="65"/>
      <c r="J189" s="71"/>
      <c r="K189" s="71"/>
      <c r="L189" s="71"/>
      <c r="M189" s="71"/>
      <c r="N189" s="71"/>
      <c r="O189" s="71"/>
      <c r="P189" s="71"/>
      <c r="Q189" s="71"/>
      <c r="R189" s="26"/>
      <c r="S189" s="37"/>
      <c r="T189" s="56">
        <f t="shared" si="5"/>
        <v>256134.5</v>
      </c>
      <c r="U189" s="42"/>
      <c r="V189" s="42"/>
      <c r="W189" s="42"/>
      <c r="X189" s="42"/>
      <c r="Y189" s="42"/>
    </row>
    <row r="190" ht="15.75" customHeight="1" spans="1:25" x14ac:dyDescent="0.25">
      <c r="A190" s="25"/>
      <c r="B190" s="35"/>
      <c r="C190" s="40"/>
      <c r="D190" s="40"/>
      <c r="E190" s="53"/>
      <c r="F190" s="50"/>
      <c r="G190" s="35"/>
      <c r="H190" s="53"/>
      <c r="I190" s="53"/>
      <c r="J190" s="71"/>
      <c r="K190" s="71"/>
      <c r="L190" s="71"/>
      <c r="M190" s="71"/>
      <c r="N190" s="71"/>
      <c r="O190" s="71"/>
      <c r="P190" s="71"/>
      <c r="Q190" s="71"/>
      <c r="R190" s="26"/>
      <c r="S190" s="37"/>
      <c r="T190" s="56">
        <f t="shared" si="5"/>
        <v>256134.5</v>
      </c>
      <c r="U190" s="42"/>
      <c r="V190" s="42"/>
      <c r="W190" s="42"/>
      <c r="X190" s="42"/>
      <c r="Y190" s="42"/>
    </row>
    <row r="191" ht="15.75" customHeight="1" spans="1:25" x14ac:dyDescent="0.25">
      <c r="A191" s="25"/>
      <c r="B191" s="35"/>
      <c r="C191" s="40"/>
      <c r="D191" s="40"/>
      <c r="E191" s="53"/>
      <c r="F191" s="50"/>
      <c r="G191" s="35"/>
      <c r="H191" s="35"/>
      <c r="I191" s="53"/>
      <c r="J191" s="71"/>
      <c r="K191" s="71"/>
      <c r="L191" s="71"/>
      <c r="M191" s="71"/>
      <c r="N191" s="71"/>
      <c r="O191" s="71"/>
      <c r="P191" s="71"/>
      <c r="Q191" s="71"/>
      <c r="R191" s="26"/>
      <c r="S191" s="37"/>
      <c r="T191" s="56">
        <f t="shared" si="5"/>
        <v>256134.5</v>
      </c>
      <c r="U191" s="42"/>
      <c r="V191" s="42"/>
      <c r="W191" s="42"/>
      <c r="X191" s="42"/>
      <c r="Y191" s="42"/>
    </row>
    <row r="192" ht="15.75" customHeight="1" spans="1:25" x14ac:dyDescent="0.25">
      <c r="A192" s="25"/>
      <c r="B192" s="35"/>
      <c r="C192" s="40"/>
      <c r="D192" s="40"/>
      <c r="E192" s="53"/>
      <c r="F192" s="50"/>
      <c r="G192" s="35"/>
      <c r="H192" s="35"/>
      <c r="I192" s="53"/>
      <c r="J192" s="71"/>
      <c r="K192" s="71"/>
      <c r="L192" s="71"/>
      <c r="M192" s="71"/>
      <c r="N192" s="71"/>
      <c r="O192" s="71"/>
      <c r="P192" s="71"/>
      <c r="Q192" s="71"/>
      <c r="R192" s="26"/>
      <c r="S192" s="37"/>
      <c r="T192" s="56">
        <f t="shared" si="5"/>
        <v>256134.5</v>
      </c>
      <c r="U192" s="42"/>
      <c r="V192" s="42"/>
      <c r="W192" s="42"/>
      <c r="X192" s="42"/>
      <c r="Y192" s="42"/>
    </row>
    <row r="193" ht="15.75" customHeight="1" spans="1:25" x14ac:dyDescent="0.25">
      <c r="A193" s="25"/>
      <c r="B193" s="35"/>
      <c r="C193" s="40"/>
      <c r="D193" s="40"/>
      <c r="E193" s="53"/>
      <c r="F193" s="50"/>
      <c r="G193" s="35"/>
      <c r="H193" s="35"/>
      <c r="I193" s="53"/>
      <c r="J193" s="71"/>
      <c r="K193" s="71"/>
      <c r="L193" s="71"/>
      <c r="M193" s="71"/>
      <c r="N193" s="71"/>
      <c r="O193" s="71"/>
      <c r="P193" s="71"/>
      <c r="Q193" s="71"/>
      <c r="R193" s="26"/>
      <c r="S193" s="37"/>
      <c r="T193" s="56">
        <f t="shared" si="5"/>
        <v>256134.5</v>
      </c>
      <c r="U193" s="42"/>
      <c r="V193" s="42"/>
      <c r="W193" s="42"/>
      <c r="X193" s="42"/>
      <c r="Y193" s="42"/>
    </row>
    <row r="194" ht="15.75" customHeight="1" spans="1:25" x14ac:dyDescent="0.25">
      <c r="A194" s="25"/>
      <c r="B194" s="35"/>
      <c r="C194" s="25"/>
      <c r="D194" s="25"/>
      <c r="E194" s="53"/>
      <c r="F194" s="50"/>
      <c r="G194" s="25"/>
      <c r="H194" s="26"/>
      <c r="I194" s="70"/>
      <c r="J194" s="71"/>
      <c r="K194" s="71"/>
      <c r="L194" s="71"/>
      <c r="M194" s="71"/>
      <c r="N194" s="71"/>
      <c r="O194" s="71"/>
      <c r="P194" s="71"/>
      <c r="Q194" s="71"/>
      <c r="R194" s="26"/>
      <c r="S194" s="37"/>
      <c r="T194" s="56">
        <f t="shared" si="5"/>
        <v>256134.5</v>
      </c>
      <c r="U194" s="42"/>
      <c r="V194" s="42"/>
      <c r="W194" s="42"/>
      <c r="X194" s="42"/>
      <c r="Y194" s="42"/>
    </row>
    <row r="195" ht="15.75" customHeight="1" spans="1:25" x14ac:dyDescent="0.25">
      <c r="A195" s="25"/>
      <c r="B195" s="35"/>
      <c r="C195" s="25"/>
      <c r="D195" s="25"/>
      <c r="E195" s="53"/>
      <c r="F195" s="50"/>
      <c r="G195" s="25"/>
      <c r="H195" s="26"/>
      <c r="I195" s="70"/>
      <c r="J195" s="71"/>
      <c r="K195" s="71"/>
      <c r="L195" s="71"/>
      <c r="M195" s="71"/>
      <c r="N195" s="71"/>
      <c r="O195" s="71"/>
      <c r="P195" s="71"/>
      <c r="Q195" s="71"/>
      <c r="R195" s="26"/>
      <c r="S195" s="37"/>
      <c r="T195" s="56">
        <f t="shared" si="5"/>
        <v>256134.5</v>
      </c>
      <c r="U195" s="42"/>
      <c r="V195" s="42"/>
      <c r="W195" s="42"/>
      <c r="X195" s="42"/>
      <c r="Y195" s="42"/>
    </row>
    <row r="196" ht="15.75" customHeight="1" spans="1:25" x14ac:dyDescent="0.25">
      <c r="A196" s="25"/>
      <c r="B196" s="35"/>
      <c r="C196" s="25"/>
      <c r="D196" s="25"/>
      <c r="E196" s="53"/>
      <c r="F196" s="50"/>
      <c r="G196" s="35"/>
      <c r="H196" s="26"/>
      <c r="I196" s="70"/>
      <c r="J196" s="71"/>
      <c r="K196" s="71"/>
      <c r="L196" s="71"/>
      <c r="M196" s="71"/>
      <c r="N196" s="71"/>
      <c r="O196" s="71"/>
      <c r="P196" s="71"/>
      <c r="Q196" s="71"/>
      <c r="R196" s="26"/>
      <c r="S196" s="37"/>
      <c r="T196" s="56">
        <f t="shared" si="5"/>
        <v>256134.5</v>
      </c>
      <c r="U196" s="42"/>
      <c r="V196" s="42"/>
      <c r="W196" s="42"/>
      <c r="X196" s="42"/>
      <c r="Y196" s="42"/>
    </row>
    <row r="197" ht="15.75" customHeight="1" spans="1:25" x14ac:dyDescent="0.25">
      <c r="A197" s="25"/>
      <c r="B197" s="35"/>
      <c r="C197" s="25"/>
      <c r="D197" s="25"/>
      <c r="E197" s="53"/>
      <c r="F197" s="50"/>
      <c r="G197" s="35"/>
      <c r="H197" s="26"/>
      <c r="I197" s="70"/>
      <c r="J197" s="71"/>
      <c r="K197" s="71"/>
      <c r="L197" s="71"/>
      <c r="M197" s="71"/>
      <c r="N197" s="71"/>
      <c r="O197" s="71"/>
      <c r="P197" s="71"/>
      <c r="Q197" s="71"/>
      <c r="R197" s="26"/>
      <c r="S197" s="37"/>
      <c r="T197" s="56">
        <f t="shared" si="5"/>
        <v>256134.5</v>
      </c>
      <c r="U197" s="42"/>
      <c r="V197" s="42"/>
      <c r="W197" s="42"/>
      <c r="X197" s="42"/>
      <c r="Y197" s="42"/>
    </row>
    <row r="198" ht="15.75" customHeight="1" spans="1:25" x14ac:dyDescent="0.25">
      <c r="A198" s="25"/>
      <c r="B198" s="35"/>
      <c r="C198" s="25"/>
      <c r="D198" s="25"/>
      <c r="E198" s="53"/>
      <c r="F198" s="50"/>
      <c r="G198" s="35"/>
      <c r="H198" s="26"/>
      <c r="I198" s="70"/>
      <c r="J198" s="71"/>
      <c r="K198" s="71"/>
      <c r="L198" s="71"/>
      <c r="M198" s="71"/>
      <c r="N198" s="71"/>
      <c r="O198" s="71"/>
      <c r="P198" s="71"/>
      <c r="Q198" s="71"/>
      <c r="R198" s="26"/>
      <c r="S198" s="37"/>
      <c r="T198" s="56">
        <f t="shared" si="5"/>
        <v>256134.5</v>
      </c>
      <c r="U198" s="42"/>
      <c r="V198" s="42"/>
      <c r="W198" s="42"/>
      <c r="X198" s="42"/>
      <c r="Y198" s="42"/>
    </row>
    <row r="199" ht="15.75" customHeight="1" spans="1:25" x14ac:dyDescent="0.25">
      <c r="A199" s="25"/>
      <c r="B199" s="35"/>
      <c r="C199" s="25"/>
      <c r="D199" s="25"/>
      <c r="E199" s="53"/>
      <c r="F199" s="50"/>
      <c r="G199" s="35"/>
      <c r="H199" s="26"/>
      <c r="I199" s="70"/>
      <c r="J199" s="71"/>
      <c r="K199" s="71"/>
      <c r="L199" s="71"/>
      <c r="M199" s="71"/>
      <c r="N199" s="71"/>
      <c r="O199" s="71"/>
      <c r="P199" s="71"/>
      <c r="Q199" s="71"/>
      <c r="R199" s="26"/>
      <c r="S199" s="37"/>
      <c r="T199" s="56">
        <f t="shared" si="5"/>
        <v>256134.5</v>
      </c>
      <c r="U199" s="42"/>
      <c r="V199" s="42"/>
      <c r="W199" s="42"/>
      <c r="X199" s="42"/>
      <c r="Y199" s="42"/>
    </row>
    <row r="200" ht="15.75" customHeight="1" spans="1:25" x14ac:dyDescent="0.25">
      <c r="A200" s="25"/>
      <c r="B200" s="35"/>
      <c r="C200" s="25"/>
      <c r="D200" s="25"/>
      <c r="E200" s="53"/>
      <c r="F200" s="50"/>
      <c r="G200" s="35"/>
      <c r="H200" s="26"/>
      <c r="I200" s="70"/>
      <c r="J200" s="71"/>
      <c r="K200" s="71"/>
      <c r="L200" s="71"/>
      <c r="M200" s="71"/>
      <c r="N200" s="71"/>
      <c r="O200" s="71"/>
      <c r="P200" s="71"/>
      <c r="Q200" s="71"/>
      <c r="R200" s="26"/>
      <c r="S200" s="37"/>
      <c r="T200" s="56">
        <f t="shared" si="5"/>
        <v>256134.5</v>
      </c>
      <c r="U200" s="42"/>
      <c r="V200" s="42"/>
      <c r="W200" s="42"/>
      <c r="X200" s="42"/>
      <c r="Y200" s="42"/>
    </row>
    <row r="201" ht="15.75" customHeight="1" spans="1:25" x14ac:dyDescent="0.25">
      <c r="A201" s="25"/>
      <c r="B201" s="35"/>
      <c r="C201" s="25"/>
      <c r="D201" s="25"/>
      <c r="E201" s="53"/>
      <c r="F201" s="50"/>
      <c r="G201" s="25"/>
      <c r="H201" s="26"/>
      <c r="I201" s="70"/>
      <c r="J201" s="71"/>
      <c r="K201" s="71"/>
      <c r="L201" s="71"/>
      <c r="M201" s="71"/>
      <c r="N201" s="71"/>
      <c r="O201" s="71"/>
      <c r="P201" s="71"/>
      <c r="Q201" s="71"/>
      <c r="R201" s="26"/>
      <c r="S201" s="37"/>
      <c r="T201" s="56">
        <f t="shared" si="5"/>
        <v>256134.5</v>
      </c>
      <c r="U201" s="42"/>
      <c r="V201" s="42"/>
      <c r="W201" s="42"/>
      <c r="X201" s="42"/>
      <c r="Y201" s="42"/>
    </row>
    <row r="202" ht="15.75" customHeight="1" spans="1:25" x14ac:dyDescent="0.25">
      <c r="A202" s="25"/>
      <c r="B202" s="35"/>
      <c r="C202" s="25"/>
      <c r="D202" s="25"/>
      <c r="E202" s="53"/>
      <c r="F202" s="50"/>
      <c r="G202" s="25"/>
      <c r="H202" s="26"/>
      <c r="I202" s="70"/>
      <c r="J202" s="71"/>
      <c r="K202" s="71"/>
      <c r="L202" s="71"/>
      <c r="M202" s="71"/>
      <c r="N202" s="71"/>
      <c r="O202" s="71"/>
      <c r="P202" s="71"/>
      <c r="Q202" s="71"/>
      <c r="R202" s="26"/>
      <c r="S202" s="37"/>
      <c r="T202" s="56">
        <f t="shared" si="5"/>
        <v>256134.5</v>
      </c>
      <c r="U202" s="42"/>
      <c r="V202" s="42"/>
      <c r="W202" s="42"/>
      <c r="X202" s="42"/>
      <c r="Y202" s="42"/>
    </row>
    <row r="203" ht="15.75" customHeight="1" spans="1:25" x14ac:dyDescent="0.25">
      <c r="A203" s="25"/>
      <c r="B203" s="35"/>
      <c r="C203" s="25"/>
      <c r="D203" s="25"/>
      <c r="E203" s="53"/>
      <c r="F203" s="50"/>
      <c r="G203" s="35"/>
      <c r="H203" s="26"/>
      <c r="I203" s="70"/>
      <c r="J203" s="71"/>
      <c r="K203" s="71"/>
      <c r="L203" s="71"/>
      <c r="M203" s="71"/>
      <c r="N203" s="71"/>
      <c r="O203" s="71"/>
      <c r="P203" s="71"/>
      <c r="Q203" s="71"/>
      <c r="R203" s="26"/>
      <c r="S203" s="37"/>
      <c r="T203" s="56">
        <f t="shared" si="5"/>
        <v>256134.5</v>
      </c>
      <c r="U203" s="42"/>
      <c r="V203" s="42"/>
      <c r="W203" s="42"/>
      <c r="X203" s="42"/>
      <c r="Y203" s="42"/>
    </row>
    <row r="204" ht="15.75" customHeight="1" spans="1:25" x14ac:dyDescent="0.25">
      <c r="A204" s="25"/>
      <c r="B204" s="35"/>
      <c r="C204" s="25"/>
      <c r="D204" s="25"/>
      <c r="E204" s="53"/>
      <c r="F204" s="50"/>
      <c r="G204" s="35"/>
      <c r="H204" s="26"/>
      <c r="I204" s="70"/>
      <c r="J204" s="71"/>
      <c r="K204" s="71"/>
      <c r="L204" s="71"/>
      <c r="M204" s="71"/>
      <c r="N204" s="71"/>
      <c r="O204" s="71"/>
      <c r="P204" s="71"/>
      <c r="Q204" s="71"/>
      <c r="R204" s="26"/>
      <c r="S204" s="37"/>
      <c r="T204" s="56">
        <f t="shared" si="5"/>
        <v>256134.5</v>
      </c>
      <c r="U204" s="42"/>
      <c r="V204" s="42"/>
      <c r="W204" s="42"/>
      <c r="X204" s="42"/>
      <c r="Y204" s="42"/>
    </row>
    <row r="205" ht="15.75" customHeight="1" spans="1:25" x14ac:dyDescent="0.25">
      <c r="A205" s="26"/>
      <c r="B205" s="35"/>
      <c r="C205" s="25"/>
      <c r="D205" s="25"/>
      <c r="E205" s="53"/>
      <c r="F205" s="50"/>
      <c r="G205" s="25"/>
      <c r="H205" s="26"/>
      <c r="I205" s="70"/>
      <c r="J205" s="71"/>
      <c r="K205" s="71"/>
      <c r="L205" s="71"/>
      <c r="M205" s="71"/>
      <c r="N205" s="71"/>
      <c r="O205" s="71"/>
      <c r="P205" s="71"/>
      <c r="Q205" s="71"/>
      <c r="R205" s="26"/>
      <c r="S205" s="37"/>
      <c r="T205" s="56">
        <f t="shared" si="5"/>
        <v>256134.5</v>
      </c>
      <c r="U205" s="42"/>
      <c r="V205" s="42"/>
      <c r="W205" s="42"/>
      <c r="X205" s="42"/>
      <c r="Y205" s="42"/>
    </row>
    <row r="206" ht="15.75" customHeight="1" spans="1:25" x14ac:dyDescent="0.25">
      <c r="A206" s="26"/>
      <c r="B206" s="35"/>
      <c r="C206" s="25"/>
      <c r="D206" s="25"/>
      <c r="E206" s="53"/>
      <c r="F206" s="50"/>
      <c r="G206" s="35"/>
      <c r="H206" s="26"/>
      <c r="I206" s="70"/>
      <c r="J206" s="71"/>
      <c r="K206" s="71"/>
      <c r="L206" s="71"/>
      <c r="M206" s="71"/>
      <c r="N206" s="71"/>
      <c r="O206" s="71"/>
      <c r="P206" s="71"/>
      <c r="Q206" s="71"/>
      <c r="R206" s="26"/>
      <c r="S206" s="37"/>
      <c r="T206" s="56">
        <f t="shared" si="5"/>
        <v>256134.5</v>
      </c>
      <c r="U206" s="42"/>
      <c r="V206" s="42"/>
      <c r="W206" s="42"/>
      <c r="X206" s="42"/>
      <c r="Y206" s="42"/>
    </row>
    <row r="207" ht="15.75" customHeight="1" spans="1:25" x14ac:dyDescent="0.25">
      <c r="A207" s="12"/>
      <c r="B207" s="26"/>
      <c r="C207" s="26"/>
      <c r="D207" s="26"/>
      <c r="E207" s="70"/>
      <c r="F207" s="57"/>
      <c r="G207" s="26"/>
      <c r="H207" s="26"/>
      <c r="I207" s="70"/>
      <c r="J207" s="71"/>
      <c r="K207" s="71"/>
      <c r="L207" s="71"/>
      <c r="M207" s="71"/>
      <c r="N207" s="71"/>
      <c r="O207" s="71"/>
      <c r="P207" s="71"/>
      <c r="Q207" s="71"/>
      <c r="R207" s="26"/>
      <c r="S207" s="37"/>
      <c r="T207" s="56">
        <f t="shared" si="5"/>
        <v>256134.5</v>
      </c>
      <c r="U207" s="42"/>
      <c r="V207" s="42"/>
      <c r="W207" s="42"/>
      <c r="X207" s="42"/>
      <c r="Y207" s="42"/>
    </row>
    <row r="208" ht="15.75" customHeight="1" spans="1:25" x14ac:dyDescent="0.25">
      <c r="A208" s="38"/>
      <c r="B208" s="29"/>
      <c r="C208" s="38"/>
      <c r="D208" s="38"/>
      <c r="E208" s="56"/>
      <c r="F208" s="57"/>
      <c r="G208" s="26"/>
      <c r="H208" s="26"/>
      <c r="I208" s="70"/>
      <c r="J208" s="71"/>
      <c r="K208" s="71"/>
      <c r="L208" s="71"/>
      <c r="M208" s="71"/>
      <c r="N208" s="71"/>
      <c r="O208" s="71"/>
      <c r="P208" s="71"/>
      <c r="Q208" s="71"/>
      <c r="R208" s="26"/>
      <c r="S208" s="37"/>
      <c r="T208" s="56">
        <f t="shared" si="5"/>
        <v>256134.5</v>
      </c>
      <c r="U208" s="42"/>
      <c r="V208" s="42"/>
      <c r="W208" s="42"/>
      <c r="X208" s="42"/>
      <c r="Y208" s="42"/>
    </row>
    <row r="209" ht="15.75" customHeight="1" spans="1:25" x14ac:dyDescent="0.25">
      <c r="A209" s="26"/>
      <c r="B209" s="29"/>
      <c r="C209" s="38"/>
      <c r="D209" s="38"/>
      <c r="E209" s="56"/>
      <c r="F209" s="57"/>
      <c r="G209" s="26"/>
      <c r="H209" s="26"/>
      <c r="I209" s="70"/>
      <c r="J209" s="71"/>
      <c r="K209" s="71"/>
      <c r="L209" s="71"/>
      <c r="M209" s="71"/>
      <c r="N209" s="71"/>
      <c r="O209" s="71"/>
      <c r="P209" s="71"/>
      <c r="Q209" s="71"/>
      <c r="R209" s="26"/>
      <c r="S209" s="37"/>
      <c r="T209" s="56">
        <f t="shared" si="5"/>
        <v>256134.5</v>
      </c>
      <c r="U209" s="42"/>
      <c r="V209" s="42"/>
      <c r="W209" s="42"/>
      <c r="X209" s="42"/>
      <c r="Y209" s="42"/>
    </row>
    <row r="210" ht="15.75" customHeight="1" spans="1:25" x14ac:dyDescent="0.25">
      <c r="A210" s="26"/>
      <c r="B210" s="29"/>
      <c r="C210" s="38"/>
      <c r="D210" s="38"/>
      <c r="E210" s="56"/>
      <c r="F210" s="57"/>
      <c r="G210" s="26"/>
      <c r="H210" s="26"/>
      <c r="I210" s="70"/>
      <c r="J210" s="71"/>
      <c r="K210" s="71"/>
      <c r="L210" s="71"/>
      <c r="M210" s="71"/>
      <c r="N210" s="71"/>
      <c r="O210" s="71"/>
      <c r="P210" s="71"/>
      <c r="Q210" s="71"/>
      <c r="R210" s="26"/>
      <c r="S210" s="37"/>
      <c r="T210" s="56">
        <f t="shared" si="5"/>
        <v>256134.5</v>
      </c>
      <c r="U210" s="42"/>
      <c r="V210" s="42"/>
      <c r="W210" s="42"/>
      <c r="X210" s="42"/>
      <c r="Y210" s="42"/>
    </row>
    <row r="211" ht="15.75" customHeight="1" spans="1:25" x14ac:dyDescent="0.25">
      <c r="A211" s="26"/>
      <c r="B211" s="29"/>
      <c r="C211" s="38"/>
      <c r="D211" s="38"/>
      <c r="E211" s="56"/>
      <c r="F211" s="57"/>
      <c r="G211" s="29"/>
      <c r="H211" s="26"/>
      <c r="I211" s="70"/>
      <c r="J211" s="71"/>
      <c r="K211" s="71"/>
      <c r="L211" s="71"/>
      <c r="M211" s="71"/>
      <c r="N211" s="71"/>
      <c r="O211" s="71"/>
      <c r="P211" s="71"/>
      <c r="Q211" s="71"/>
      <c r="R211" s="26"/>
      <c r="S211" s="37"/>
      <c r="T211" s="56">
        <f t="shared" si="5"/>
        <v>256134.5</v>
      </c>
      <c r="U211" s="42"/>
      <c r="V211" s="42"/>
      <c r="W211" s="42"/>
      <c r="X211" s="42"/>
      <c r="Y211" s="42"/>
    </row>
    <row r="212" ht="15.75" customHeight="1" spans="1:25" x14ac:dyDescent="0.25">
      <c r="A212" s="26"/>
      <c r="B212" s="29"/>
      <c r="C212" s="38"/>
      <c r="D212" s="38"/>
      <c r="E212" s="56"/>
      <c r="F212" s="57"/>
      <c r="G212" s="29"/>
      <c r="H212" s="26"/>
      <c r="I212" s="70"/>
      <c r="J212" s="71"/>
      <c r="K212" s="71"/>
      <c r="L212" s="71"/>
      <c r="M212" s="71"/>
      <c r="N212" s="71"/>
      <c r="O212" s="71"/>
      <c r="P212" s="71"/>
      <c r="Q212" s="71"/>
      <c r="R212" s="26"/>
      <c r="S212" s="37"/>
      <c r="T212" s="56">
        <f t="shared" si="5"/>
        <v>256134.5</v>
      </c>
      <c r="U212" s="42"/>
      <c r="V212" s="42"/>
      <c r="W212" s="42"/>
      <c r="X212" s="42"/>
      <c r="Y212" s="42"/>
    </row>
    <row r="213" ht="15.75" customHeight="1" spans="1:25" x14ac:dyDescent="0.25">
      <c r="A213" s="26"/>
      <c r="B213" s="29"/>
      <c r="C213" s="38"/>
      <c r="D213" s="38"/>
      <c r="E213" s="56"/>
      <c r="F213" s="57"/>
      <c r="G213" s="29"/>
      <c r="H213" s="26"/>
      <c r="I213" s="70"/>
      <c r="J213" s="71"/>
      <c r="K213" s="71"/>
      <c r="L213" s="71"/>
      <c r="M213" s="71"/>
      <c r="N213" s="71"/>
      <c r="O213" s="71"/>
      <c r="P213" s="71"/>
      <c r="Q213" s="71"/>
      <c r="R213" s="26"/>
      <c r="S213" s="37"/>
      <c r="T213" s="56">
        <f t="shared" si="5"/>
        <v>256134.5</v>
      </c>
      <c r="U213" s="42"/>
      <c r="V213" s="42"/>
      <c r="W213" s="42"/>
      <c r="X213" s="42"/>
      <c r="Y213" s="42"/>
    </row>
    <row r="214" ht="15.75" customHeight="1" spans="1:25" x14ac:dyDescent="0.25">
      <c r="A214" s="40"/>
      <c r="B214" s="35"/>
      <c r="C214" s="40"/>
      <c r="D214" s="25"/>
      <c r="E214" s="53"/>
      <c r="F214" s="68"/>
      <c r="G214" s="35"/>
      <c r="H214" s="26"/>
      <c r="I214" s="70"/>
      <c r="J214" s="71"/>
      <c r="K214" s="71"/>
      <c r="L214" s="71"/>
      <c r="M214" s="71"/>
      <c r="N214" s="71"/>
      <c r="O214" s="71"/>
      <c r="P214" s="71"/>
      <c r="Q214" s="71"/>
      <c r="R214" s="26"/>
      <c r="S214" s="37"/>
      <c r="T214" s="56">
        <f>T213-E214+75000</f>
        <v>331134.5</v>
      </c>
      <c r="U214" s="42"/>
      <c r="V214" s="42"/>
      <c r="W214" s="42"/>
      <c r="X214" s="42"/>
      <c r="Y214" s="42"/>
    </row>
    <row r="215" ht="15.75" customHeight="1" spans="1:25" x14ac:dyDescent="0.25">
      <c r="A215" s="25"/>
      <c r="B215" s="35"/>
      <c r="C215" s="40"/>
      <c r="D215" s="40"/>
      <c r="E215" s="53"/>
      <c r="F215" s="50"/>
      <c r="G215" s="35"/>
      <c r="H215" s="26"/>
      <c r="I215" s="70"/>
      <c r="J215" s="71"/>
      <c r="K215" s="71"/>
      <c r="L215" s="71"/>
      <c r="M215" s="71"/>
      <c r="N215" s="71"/>
      <c r="O215" s="71"/>
      <c r="P215" s="71"/>
      <c r="Q215" s="71"/>
      <c r="R215" s="26"/>
      <c r="S215" s="37"/>
      <c r="T215" s="56">
        <f t="shared" ref="T215:T226" si="6">T214-E215</f>
        <v>331134.5</v>
      </c>
      <c r="U215" s="42"/>
      <c r="V215" s="42"/>
      <c r="W215" s="42"/>
      <c r="X215" s="42"/>
      <c r="Y215" s="42"/>
    </row>
    <row r="216" ht="15.75" customHeight="1" spans="1:25" x14ac:dyDescent="0.25">
      <c r="A216" s="25"/>
      <c r="B216" s="35"/>
      <c r="C216" s="25"/>
      <c r="D216" s="25"/>
      <c r="E216" s="53"/>
      <c r="F216" s="50"/>
      <c r="G216" s="35"/>
      <c r="H216" s="35"/>
      <c r="I216" s="53"/>
      <c r="J216" s="71"/>
      <c r="K216" s="71"/>
      <c r="L216" s="71"/>
      <c r="M216" s="71"/>
      <c r="N216" s="71"/>
      <c r="O216" s="71"/>
      <c r="P216" s="71"/>
      <c r="Q216" s="71"/>
      <c r="R216" s="26"/>
      <c r="S216" s="37"/>
      <c r="T216" s="56">
        <f t="shared" si="6"/>
        <v>331134.5</v>
      </c>
      <c r="U216" s="42"/>
      <c r="V216" s="42"/>
      <c r="W216" s="42"/>
      <c r="X216" s="42"/>
      <c r="Y216" s="42"/>
    </row>
    <row r="217" ht="15.75" customHeight="1" spans="1:25" x14ac:dyDescent="0.25">
      <c r="A217" s="25"/>
      <c r="B217" s="35"/>
      <c r="C217" s="25"/>
      <c r="D217" s="25"/>
      <c r="E217" s="53"/>
      <c r="F217" s="50"/>
      <c r="G217" s="35"/>
      <c r="H217" s="26"/>
      <c r="I217" s="70"/>
      <c r="J217" s="71"/>
      <c r="K217" s="71"/>
      <c r="L217" s="71"/>
      <c r="M217" s="71"/>
      <c r="N217" s="71"/>
      <c r="O217" s="71"/>
      <c r="P217" s="71"/>
      <c r="Q217" s="71"/>
      <c r="R217" s="26"/>
      <c r="S217" s="37"/>
      <c r="T217" s="56">
        <f t="shared" si="6"/>
        <v>331134.5</v>
      </c>
      <c r="U217" s="42"/>
      <c r="V217" s="42"/>
      <c r="W217" s="42"/>
      <c r="X217" s="42"/>
      <c r="Y217" s="42"/>
    </row>
    <row r="218" ht="15.75" customHeight="1" spans="1:25" x14ac:dyDescent="0.25">
      <c r="A218" s="25"/>
      <c r="B218" s="35"/>
      <c r="C218" s="25"/>
      <c r="D218" s="25"/>
      <c r="E218" s="53"/>
      <c r="F218" s="50"/>
      <c r="G218" s="35"/>
      <c r="H218" s="26"/>
      <c r="I218" s="70"/>
      <c r="J218" s="71"/>
      <c r="K218" s="71"/>
      <c r="L218" s="71"/>
      <c r="M218" s="71"/>
      <c r="N218" s="71"/>
      <c r="O218" s="71"/>
      <c r="P218" s="71"/>
      <c r="Q218" s="71"/>
      <c r="R218" s="26"/>
      <c r="S218" s="37"/>
      <c r="T218" s="56">
        <f t="shared" si="6"/>
        <v>331134.5</v>
      </c>
      <c r="U218" s="42"/>
      <c r="V218" s="42"/>
      <c r="W218" s="42"/>
      <c r="X218" s="42"/>
      <c r="Y218" s="42"/>
    </row>
    <row r="219" ht="15.75" customHeight="1" spans="1:25" x14ac:dyDescent="0.25">
      <c r="A219" s="25"/>
      <c r="B219" s="35"/>
      <c r="C219" s="25"/>
      <c r="D219" s="25"/>
      <c r="E219" s="53"/>
      <c r="F219" s="50"/>
      <c r="G219" s="35"/>
      <c r="H219" s="26"/>
      <c r="I219" s="70"/>
      <c r="J219" s="71"/>
      <c r="K219" s="71"/>
      <c r="L219" s="71"/>
      <c r="M219" s="71"/>
      <c r="N219" s="71"/>
      <c r="O219" s="71"/>
      <c r="P219" s="71"/>
      <c r="Q219" s="71"/>
      <c r="R219" s="26"/>
      <c r="S219" s="37"/>
      <c r="T219" s="56">
        <f t="shared" si="6"/>
        <v>331134.5</v>
      </c>
      <c r="U219" s="42"/>
      <c r="V219" s="42"/>
      <c r="W219" s="42"/>
      <c r="X219" s="42"/>
      <c r="Y219" s="42"/>
    </row>
    <row r="220" ht="15.75" customHeight="1" spans="1:25" x14ac:dyDescent="0.25">
      <c r="A220" s="25"/>
      <c r="B220" s="35"/>
      <c r="C220" s="25"/>
      <c r="D220" s="25"/>
      <c r="E220" s="53"/>
      <c r="F220" s="50"/>
      <c r="G220" s="35"/>
      <c r="H220" s="26"/>
      <c r="I220" s="70"/>
      <c r="J220" s="71"/>
      <c r="K220" s="71"/>
      <c r="L220" s="71"/>
      <c r="M220" s="71"/>
      <c r="N220" s="71"/>
      <c r="O220" s="71"/>
      <c r="P220" s="71"/>
      <c r="Q220" s="71"/>
      <c r="R220" s="26"/>
      <c r="S220" s="37"/>
      <c r="T220" s="56">
        <f t="shared" si="6"/>
        <v>331134.5</v>
      </c>
      <c r="U220" s="42"/>
      <c r="V220" s="42"/>
      <c r="W220" s="42"/>
      <c r="X220" s="42"/>
      <c r="Y220" s="42"/>
    </row>
    <row r="221" ht="15.75" customHeight="1" spans="1:25" x14ac:dyDescent="0.25">
      <c r="A221" s="25"/>
      <c r="B221" s="35"/>
      <c r="C221" s="25"/>
      <c r="D221" s="25"/>
      <c r="E221" s="53"/>
      <c r="F221" s="50"/>
      <c r="G221" s="35"/>
      <c r="H221" s="26"/>
      <c r="I221" s="70"/>
      <c r="J221" s="71"/>
      <c r="K221" s="71"/>
      <c r="L221" s="71"/>
      <c r="M221" s="71"/>
      <c r="N221" s="71"/>
      <c r="O221" s="71"/>
      <c r="P221" s="71"/>
      <c r="Q221" s="71"/>
      <c r="R221" s="26"/>
      <c r="S221" s="37"/>
      <c r="T221" s="56">
        <f t="shared" si="6"/>
        <v>331134.5</v>
      </c>
      <c r="U221" s="42"/>
      <c r="V221" s="42"/>
      <c r="W221" s="42"/>
      <c r="X221" s="42"/>
      <c r="Y221" s="42"/>
    </row>
    <row r="222" ht="15.75" customHeight="1" spans="1:25" x14ac:dyDescent="0.25">
      <c r="A222" s="25"/>
      <c r="B222" s="35"/>
      <c r="C222" s="25"/>
      <c r="D222" s="25"/>
      <c r="E222" s="53"/>
      <c r="F222" s="50"/>
      <c r="G222" s="25"/>
      <c r="H222" s="26"/>
      <c r="I222" s="70"/>
      <c r="J222" s="71"/>
      <c r="K222" s="71"/>
      <c r="L222" s="71"/>
      <c r="M222" s="71"/>
      <c r="N222" s="71"/>
      <c r="O222" s="71"/>
      <c r="P222" s="71"/>
      <c r="Q222" s="71"/>
      <c r="R222" s="26"/>
      <c r="S222" s="37"/>
      <c r="T222" s="56">
        <f t="shared" si="6"/>
        <v>331134.5</v>
      </c>
      <c r="U222" s="42"/>
      <c r="V222" s="42"/>
      <c r="W222" s="42"/>
      <c r="X222" s="42"/>
      <c r="Y222" s="42"/>
    </row>
    <row r="223" ht="15.75" customHeight="1" spans="1:25" x14ac:dyDescent="0.25">
      <c r="A223" s="25"/>
      <c r="B223" s="35"/>
      <c r="C223" s="25"/>
      <c r="D223" s="25"/>
      <c r="E223" s="53"/>
      <c r="F223" s="50"/>
      <c r="G223" s="25"/>
      <c r="H223" s="26"/>
      <c r="I223" s="70"/>
      <c r="J223" s="71"/>
      <c r="K223" s="71"/>
      <c r="L223" s="71"/>
      <c r="M223" s="71"/>
      <c r="N223" s="71"/>
      <c r="O223" s="71"/>
      <c r="P223" s="71"/>
      <c r="Q223" s="71"/>
      <c r="R223" s="26"/>
      <c r="S223" s="37"/>
      <c r="T223" s="56">
        <f t="shared" si="6"/>
        <v>331134.5</v>
      </c>
      <c r="U223" s="42"/>
      <c r="V223" s="42"/>
      <c r="W223" s="42"/>
      <c r="X223" s="42"/>
      <c r="Y223" s="42"/>
    </row>
    <row r="224" ht="15.75" customHeight="1" spans="1:25" x14ac:dyDescent="0.25">
      <c r="A224" s="25"/>
      <c r="B224" s="35"/>
      <c r="C224" s="25"/>
      <c r="D224" s="25"/>
      <c r="E224" s="53"/>
      <c r="F224" s="50"/>
      <c r="G224" s="25"/>
      <c r="H224" s="26"/>
      <c r="I224" s="70"/>
      <c r="J224" s="71"/>
      <c r="K224" s="71"/>
      <c r="L224" s="71"/>
      <c r="M224" s="71"/>
      <c r="N224" s="71"/>
      <c r="O224" s="71"/>
      <c r="P224" s="71"/>
      <c r="Q224" s="71"/>
      <c r="R224" s="26"/>
      <c r="S224" s="37"/>
      <c r="T224" s="56">
        <f t="shared" si="6"/>
        <v>331134.5</v>
      </c>
      <c r="U224" s="42"/>
      <c r="V224" s="42"/>
      <c r="W224" s="42"/>
      <c r="X224" s="42"/>
      <c r="Y224" s="42"/>
    </row>
    <row r="225" ht="15.75" customHeight="1" spans="1:25" x14ac:dyDescent="0.25">
      <c r="A225" s="25"/>
      <c r="B225" s="35"/>
      <c r="C225" s="25"/>
      <c r="D225" s="25"/>
      <c r="E225" s="53"/>
      <c r="F225" s="50"/>
      <c r="G225" s="25"/>
      <c r="H225" s="26"/>
      <c r="I225" s="70"/>
      <c r="J225" s="71"/>
      <c r="K225" s="71"/>
      <c r="L225" s="71"/>
      <c r="M225" s="71"/>
      <c r="N225" s="71"/>
      <c r="O225" s="71"/>
      <c r="P225" s="71"/>
      <c r="Q225" s="71"/>
      <c r="R225" s="26"/>
      <c r="S225" s="37"/>
      <c r="T225" s="56">
        <f t="shared" si="6"/>
        <v>331134.5</v>
      </c>
      <c r="U225" s="42"/>
      <c r="V225" s="42"/>
      <c r="W225" s="42"/>
      <c r="X225" s="42"/>
      <c r="Y225" s="42"/>
    </row>
    <row r="226" ht="15.75" customHeight="1" spans="1:25" x14ac:dyDescent="0.25">
      <c r="A226" s="26"/>
      <c r="B226" s="29"/>
      <c r="C226" s="26"/>
      <c r="D226" s="26"/>
      <c r="E226" s="56"/>
      <c r="F226" s="57"/>
      <c r="G226" s="29"/>
      <c r="H226" s="26"/>
      <c r="I226" s="70"/>
      <c r="J226" s="71"/>
      <c r="K226" s="71"/>
      <c r="L226" s="71"/>
      <c r="M226" s="71"/>
      <c r="N226" s="71"/>
      <c r="O226" s="71"/>
      <c r="P226" s="71"/>
      <c r="Q226" s="71"/>
      <c r="R226" s="26"/>
      <c r="S226" s="37"/>
      <c r="T226" s="56">
        <f t="shared" si="6"/>
        <v>331134.5</v>
      </c>
      <c r="U226" s="42"/>
      <c r="V226" s="42"/>
      <c r="W226" s="42"/>
      <c r="X226" s="42"/>
      <c r="Y226" s="42"/>
    </row>
    <row r="227" ht="15.75" customHeight="1" spans="1:25" x14ac:dyDescent="0.25">
      <c r="A227" s="26"/>
      <c r="B227" s="29"/>
      <c r="C227" s="26"/>
      <c r="D227" s="26"/>
      <c r="E227" s="56"/>
      <c r="F227" s="69"/>
      <c r="G227" s="26"/>
      <c r="H227" s="26"/>
      <c r="I227" s="70"/>
      <c r="J227" s="71"/>
      <c r="K227" s="71"/>
      <c r="L227" s="71"/>
      <c r="M227" s="71"/>
      <c r="N227" s="71"/>
      <c r="O227" s="71"/>
      <c r="P227" s="71"/>
      <c r="Q227" s="71"/>
      <c r="R227" s="26"/>
      <c r="S227" s="37"/>
      <c r="T227" s="56">
        <f>T226-E227+111000</f>
        <v>442134.5</v>
      </c>
      <c r="U227" s="42"/>
      <c r="V227" s="42"/>
      <c r="W227" s="42"/>
      <c r="X227" s="42"/>
      <c r="Y227" s="42"/>
    </row>
    <row r="228" ht="15.75" customHeight="1" spans="1:25" x14ac:dyDescent="0.25">
      <c r="A228" s="26"/>
      <c r="B228" s="29"/>
      <c r="C228" s="26"/>
      <c r="D228" s="26"/>
      <c r="E228" s="56"/>
      <c r="F228" s="57"/>
      <c r="G228" s="26"/>
      <c r="H228" s="26"/>
      <c r="I228" s="70"/>
      <c r="J228" s="71"/>
      <c r="K228" s="71"/>
      <c r="L228" s="71"/>
      <c r="M228" s="71"/>
      <c r="N228" s="71"/>
      <c r="O228" s="71"/>
      <c r="P228" s="71"/>
      <c r="Q228" s="71"/>
      <c r="R228" s="26"/>
      <c r="S228" s="37"/>
      <c r="T228" s="56">
        <f t="shared" ref="T228:T257" si="7">T227-E228</f>
        <v>442134.5</v>
      </c>
      <c r="U228" s="42"/>
      <c r="V228" s="42"/>
      <c r="W228" s="42"/>
      <c r="X228" s="42"/>
      <c r="Y228" s="42"/>
    </row>
    <row r="229" ht="15.75" customHeight="1" spans="1:25" x14ac:dyDescent="0.25">
      <c r="A229" s="26"/>
      <c r="B229" s="29"/>
      <c r="C229" s="26"/>
      <c r="D229" s="26"/>
      <c r="E229" s="56"/>
      <c r="F229" s="57"/>
      <c r="G229" s="26"/>
      <c r="H229" s="26"/>
      <c r="I229" s="70"/>
      <c r="J229" s="71"/>
      <c r="K229" s="71"/>
      <c r="L229" s="71"/>
      <c r="M229" s="71"/>
      <c r="N229" s="71"/>
      <c r="O229" s="71"/>
      <c r="P229" s="71"/>
      <c r="Q229" s="71"/>
      <c r="R229" s="26"/>
      <c r="S229" s="37"/>
      <c r="T229" s="56">
        <f t="shared" si="7"/>
        <v>442134.5</v>
      </c>
      <c r="U229" s="42"/>
      <c r="V229" s="42"/>
      <c r="W229" s="42"/>
      <c r="X229" s="42"/>
      <c r="Y229" s="42"/>
    </row>
    <row r="230" ht="15.75" customHeight="1" spans="1:25" x14ac:dyDescent="0.25">
      <c r="A230" s="26"/>
      <c r="B230" s="29"/>
      <c r="C230" s="26"/>
      <c r="D230" s="26"/>
      <c r="E230" s="56"/>
      <c r="F230" s="57"/>
      <c r="G230" s="26"/>
      <c r="H230" s="26"/>
      <c r="I230" s="70"/>
      <c r="J230" s="71"/>
      <c r="K230" s="71"/>
      <c r="L230" s="71"/>
      <c r="M230" s="71"/>
      <c r="N230" s="71"/>
      <c r="O230" s="71"/>
      <c r="P230" s="71"/>
      <c r="Q230" s="71"/>
      <c r="R230" s="26"/>
      <c r="S230" s="37"/>
      <c r="T230" s="56">
        <f t="shared" si="7"/>
        <v>442134.5</v>
      </c>
      <c r="U230" s="42"/>
      <c r="V230" s="42"/>
      <c r="W230" s="42"/>
      <c r="X230" s="42"/>
      <c r="Y230" s="42"/>
    </row>
    <row r="231" ht="15.75" customHeight="1" spans="1:25" x14ac:dyDescent="0.25">
      <c r="A231" s="26"/>
      <c r="B231" s="29"/>
      <c r="C231" s="26"/>
      <c r="D231" s="26"/>
      <c r="E231" s="56"/>
      <c r="F231" s="57"/>
      <c r="G231" s="26"/>
      <c r="H231" s="26"/>
      <c r="I231" s="70"/>
      <c r="J231" s="71"/>
      <c r="K231" s="71"/>
      <c r="L231" s="71"/>
      <c r="M231" s="71"/>
      <c r="N231" s="71"/>
      <c r="O231" s="71"/>
      <c r="P231" s="71"/>
      <c r="Q231" s="71"/>
      <c r="R231" s="26"/>
      <c r="S231" s="37"/>
      <c r="T231" s="56">
        <f t="shared" si="7"/>
        <v>442134.5</v>
      </c>
      <c r="U231" s="42"/>
      <c r="V231" s="42"/>
      <c r="W231" s="42"/>
      <c r="X231" s="42"/>
      <c r="Y231" s="42"/>
    </row>
    <row r="232" ht="15.75" customHeight="1" spans="1:25" x14ac:dyDescent="0.25">
      <c r="A232" s="26"/>
      <c r="B232" s="29"/>
      <c r="C232" s="26"/>
      <c r="D232" s="26"/>
      <c r="E232" s="56"/>
      <c r="F232" s="57"/>
      <c r="G232" s="26"/>
      <c r="H232" s="26"/>
      <c r="I232" s="70"/>
      <c r="J232" s="71"/>
      <c r="K232" s="71"/>
      <c r="L232" s="71"/>
      <c r="M232" s="71"/>
      <c r="N232" s="71"/>
      <c r="O232" s="71"/>
      <c r="P232" s="71"/>
      <c r="Q232" s="71"/>
      <c r="R232" s="26"/>
      <c r="S232" s="37"/>
      <c r="T232" s="56">
        <f t="shared" si="7"/>
        <v>442134.5</v>
      </c>
      <c r="U232" s="42"/>
      <c r="V232" s="42"/>
      <c r="W232" s="42"/>
      <c r="X232" s="42"/>
      <c r="Y232" s="42"/>
    </row>
    <row r="233" ht="15.75" customHeight="1" spans="1:25" x14ac:dyDescent="0.25">
      <c r="A233" s="25"/>
      <c r="B233" s="35"/>
      <c r="C233" s="25"/>
      <c r="D233" s="25"/>
      <c r="E233" s="53"/>
      <c r="F233" s="57"/>
      <c r="G233" s="26"/>
      <c r="H233" s="26"/>
      <c r="I233" s="70"/>
      <c r="J233" s="71"/>
      <c r="K233" s="71"/>
      <c r="L233" s="71"/>
      <c r="M233" s="71"/>
      <c r="N233" s="71"/>
      <c r="O233" s="71"/>
      <c r="P233" s="71"/>
      <c r="Q233" s="71"/>
      <c r="R233" s="26"/>
      <c r="S233" s="37"/>
      <c r="T233" s="56">
        <f t="shared" si="7"/>
        <v>442134.5</v>
      </c>
      <c r="U233" s="42"/>
      <c r="V233" s="42"/>
      <c r="W233" s="42"/>
      <c r="X233" s="42"/>
      <c r="Y233" s="42"/>
    </row>
    <row r="234" ht="15.75" customHeight="1" spans="1:25" x14ac:dyDescent="0.25">
      <c r="A234" s="25"/>
      <c r="B234" s="35"/>
      <c r="C234" s="25"/>
      <c r="D234" s="25"/>
      <c r="E234" s="53"/>
      <c r="F234" s="57"/>
      <c r="G234" s="26"/>
      <c r="H234" s="26"/>
      <c r="I234" s="70"/>
      <c r="J234" s="71"/>
      <c r="K234" s="71"/>
      <c r="L234" s="71"/>
      <c r="M234" s="71"/>
      <c r="N234" s="71"/>
      <c r="O234" s="71"/>
      <c r="P234" s="71"/>
      <c r="Q234" s="71"/>
      <c r="R234" s="26"/>
      <c r="S234" s="37"/>
      <c r="T234" s="56">
        <f t="shared" si="7"/>
        <v>442134.5</v>
      </c>
      <c r="U234" s="42"/>
      <c r="V234" s="42"/>
      <c r="W234" s="42"/>
      <c r="X234" s="42"/>
      <c r="Y234" s="42"/>
    </row>
    <row r="235" ht="15.75" customHeight="1" spans="1:25" x14ac:dyDescent="0.25">
      <c r="A235" s="25"/>
      <c r="B235" s="35"/>
      <c r="C235" s="25"/>
      <c r="D235" s="25"/>
      <c r="E235" s="53"/>
      <c r="F235" s="57"/>
      <c r="G235" s="26"/>
      <c r="H235" s="26"/>
      <c r="I235" s="70"/>
      <c r="J235" s="71"/>
      <c r="K235" s="71"/>
      <c r="L235" s="71"/>
      <c r="M235" s="71"/>
      <c r="N235" s="71"/>
      <c r="O235" s="71"/>
      <c r="P235" s="71"/>
      <c r="Q235" s="71"/>
      <c r="R235" s="26"/>
      <c r="S235" s="37"/>
      <c r="T235" s="56">
        <f t="shared" si="7"/>
        <v>442134.5</v>
      </c>
      <c r="U235" s="42"/>
      <c r="V235" s="42"/>
      <c r="W235" s="42"/>
      <c r="X235" s="42"/>
      <c r="Y235" s="42"/>
    </row>
    <row r="236" ht="15.75" customHeight="1" spans="1:25" x14ac:dyDescent="0.25">
      <c r="A236" s="25"/>
      <c r="B236" s="35"/>
      <c r="C236" s="25"/>
      <c r="D236" s="25"/>
      <c r="E236" s="53"/>
      <c r="F236" s="57"/>
      <c r="G236" s="26"/>
      <c r="H236" s="26"/>
      <c r="I236" s="70"/>
      <c r="J236" s="71"/>
      <c r="K236" s="71"/>
      <c r="L236" s="71"/>
      <c r="M236" s="71"/>
      <c r="N236" s="71"/>
      <c r="O236" s="71"/>
      <c r="P236" s="71"/>
      <c r="Q236" s="71"/>
      <c r="R236" s="26"/>
      <c r="S236" s="37"/>
      <c r="T236" s="56">
        <f t="shared" si="7"/>
        <v>442134.5</v>
      </c>
      <c r="U236" s="42"/>
      <c r="V236" s="42"/>
      <c r="W236" s="42"/>
      <c r="X236" s="42"/>
      <c r="Y236" s="42"/>
    </row>
    <row r="237" ht="15.75" customHeight="1" spans="1:25" x14ac:dyDescent="0.25">
      <c r="A237" s="25"/>
      <c r="B237" s="35"/>
      <c r="C237" s="25"/>
      <c r="D237" s="25"/>
      <c r="E237" s="53"/>
      <c r="F237" s="57"/>
      <c r="G237" s="26"/>
      <c r="H237" s="26"/>
      <c r="I237" s="70"/>
      <c r="J237" s="71"/>
      <c r="K237" s="71"/>
      <c r="L237" s="71"/>
      <c r="M237" s="71"/>
      <c r="N237" s="71"/>
      <c r="O237" s="71"/>
      <c r="P237" s="71"/>
      <c r="Q237" s="71"/>
      <c r="R237" s="26"/>
      <c r="S237" s="37"/>
      <c r="T237" s="56">
        <f t="shared" si="7"/>
        <v>442134.5</v>
      </c>
      <c r="U237" s="42"/>
      <c r="V237" s="42"/>
      <c r="W237" s="42"/>
      <c r="X237" s="42"/>
      <c r="Y237" s="42"/>
    </row>
    <row r="238" ht="15.75" customHeight="1" spans="1:25" x14ac:dyDescent="0.25">
      <c r="A238" s="25"/>
      <c r="B238" s="35"/>
      <c r="C238" s="25"/>
      <c r="D238" s="25"/>
      <c r="E238" s="53"/>
      <c r="F238" s="57"/>
      <c r="G238" s="26"/>
      <c r="H238" s="26"/>
      <c r="I238" s="70"/>
      <c r="J238" s="71"/>
      <c r="K238" s="71"/>
      <c r="L238" s="71"/>
      <c r="M238" s="71"/>
      <c r="N238" s="71"/>
      <c r="O238" s="71"/>
      <c r="P238" s="71"/>
      <c r="Q238" s="71"/>
      <c r="R238" s="26"/>
      <c r="S238" s="37"/>
      <c r="T238" s="56">
        <f t="shared" si="7"/>
        <v>442134.5</v>
      </c>
      <c r="U238" s="42"/>
      <c r="V238" s="42"/>
      <c r="W238" s="42"/>
      <c r="X238" s="42"/>
      <c r="Y238" s="42"/>
    </row>
    <row r="239" ht="15.75" customHeight="1" spans="1:25" x14ac:dyDescent="0.25">
      <c r="A239" s="25"/>
      <c r="B239" s="35"/>
      <c r="C239" s="25"/>
      <c r="D239" s="25"/>
      <c r="E239" s="53"/>
      <c r="F239" s="57"/>
      <c r="G239" s="26"/>
      <c r="H239" s="26"/>
      <c r="I239" s="70"/>
      <c r="J239" s="71"/>
      <c r="K239" s="71"/>
      <c r="L239" s="71"/>
      <c r="M239" s="71"/>
      <c r="N239" s="71"/>
      <c r="O239" s="71"/>
      <c r="P239" s="71"/>
      <c r="Q239" s="71"/>
      <c r="R239" s="26"/>
      <c r="S239" s="37"/>
      <c r="T239" s="56">
        <f t="shared" si="7"/>
        <v>442134.5</v>
      </c>
      <c r="U239" s="42"/>
      <c r="V239" s="42"/>
      <c r="W239" s="42"/>
      <c r="X239" s="42"/>
      <c r="Y239" s="42"/>
    </row>
    <row r="240" ht="15.75" customHeight="1" spans="1:25" x14ac:dyDescent="0.25">
      <c r="A240" s="25"/>
      <c r="B240" s="35"/>
      <c r="C240" s="25"/>
      <c r="D240" s="25"/>
      <c r="E240" s="53"/>
      <c r="F240" s="57"/>
      <c r="G240" s="26"/>
      <c r="H240" s="26"/>
      <c r="I240" s="70"/>
      <c r="J240" s="71"/>
      <c r="K240" s="71"/>
      <c r="L240" s="71"/>
      <c r="M240" s="71"/>
      <c r="N240" s="71"/>
      <c r="O240" s="71"/>
      <c r="P240" s="71"/>
      <c r="Q240" s="71"/>
      <c r="R240" s="26"/>
      <c r="S240" s="37"/>
      <c r="T240" s="56">
        <f t="shared" si="7"/>
        <v>442134.5</v>
      </c>
      <c r="U240" s="42"/>
      <c r="V240" s="42"/>
      <c r="W240" s="42"/>
      <c r="X240" s="42"/>
      <c r="Y240" s="42"/>
    </row>
    <row r="241" ht="15.75" customHeight="1" spans="1:25" x14ac:dyDescent="0.25">
      <c r="A241" s="25"/>
      <c r="B241" s="35"/>
      <c r="C241" s="25"/>
      <c r="D241" s="25"/>
      <c r="E241" s="53"/>
      <c r="F241" s="57"/>
      <c r="G241" s="26"/>
      <c r="H241" s="26"/>
      <c r="I241" s="70"/>
      <c r="J241" s="71"/>
      <c r="K241" s="71"/>
      <c r="L241" s="71"/>
      <c r="M241" s="71"/>
      <c r="N241" s="71"/>
      <c r="O241" s="71"/>
      <c r="P241" s="71"/>
      <c r="Q241" s="71"/>
      <c r="R241" s="26"/>
      <c r="S241" s="37"/>
      <c r="T241" s="56">
        <f t="shared" si="7"/>
        <v>442134.5</v>
      </c>
      <c r="U241" s="42"/>
      <c r="V241" s="42"/>
      <c r="W241" s="42"/>
      <c r="X241" s="42"/>
      <c r="Y241" s="42"/>
    </row>
    <row r="242" ht="15.75" customHeight="1" spans="1:25" x14ac:dyDescent="0.25">
      <c r="A242" s="25"/>
      <c r="B242" s="35"/>
      <c r="C242" s="25"/>
      <c r="D242" s="25"/>
      <c r="E242" s="53"/>
      <c r="F242" s="50"/>
      <c r="G242" s="35"/>
      <c r="H242" s="26"/>
      <c r="I242" s="70"/>
      <c r="J242" s="71"/>
      <c r="K242" s="71"/>
      <c r="L242" s="71"/>
      <c r="M242" s="71"/>
      <c r="N242" s="71"/>
      <c r="O242" s="71"/>
      <c r="P242" s="71"/>
      <c r="Q242" s="71"/>
      <c r="R242" s="26"/>
      <c r="S242" s="37"/>
      <c r="T242" s="56">
        <f t="shared" si="7"/>
        <v>442134.5</v>
      </c>
      <c r="U242" s="42"/>
      <c r="V242" s="42"/>
      <c r="W242" s="42"/>
      <c r="X242" s="42"/>
      <c r="Y242" s="42"/>
    </row>
    <row r="243" ht="15.75" customHeight="1" spans="1:25" x14ac:dyDescent="0.25">
      <c r="A243" s="25"/>
      <c r="B243" s="35"/>
      <c r="C243" s="25"/>
      <c r="D243" s="25"/>
      <c r="E243" s="53"/>
      <c r="F243" s="50"/>
      <c r="G243" s="35"/>
      <c r="H243" s="26"/>
      <c r="I243" s="70"/>
      <c r="J243" s="71"/>
      <c r="K243" s="71"/>
      <c r="L243" s="71"/>
      <c r="M243" s="71"/>
      <c r="N243" s="71"/>
      <c r="O243" s="71"/>
      <c r="P243" s="71"/>
      <c r="Q243" s="71"/>
      <c r="R243" s="26"/>
      <c r="S243" s="37"/>
      <c r="T243" s="56">
        <f t="shared" si="7"/>
        <v>442134.5</v>
      </c>
      <c r="U243" s="42"/>
      <c r="V243" s="42"/>
      <c r="W243" s="42"/>
      <c r="X243" s="42"/>
      <c r="Y243" s="42"/>
    </row>
    <row r="244" ht="15.75" customHeight="1" spans="1:25" x14ac:dyDescent="0.25">
      <c r="A244" s="26"/>
      <c r="B244" s="26"/>
      <c r="C244" s="26"/>
      <c r="D244" s="26"/>
      <c r="E244" s="70"/>
      <c r="F244" s="57"/>
      <c r="G244" s="26"/>
      <c r="H244" s="26"/>
      <c r="I244" s="70"/>
      <c r="J244" s="71"/>
      <c r="K244" s="71"/>
      <c r="L244" s="71"/>
      <c r="M244" s="71"/>
      <c r="N244" s="71"/>
      <c r="O244" s="71"/>
      <c r="P244" s="71"/>
      <c r="Q244" s="71"/>
      <c r="R244" s="26"/>
      <c r="S244" s="37"/>
      <c r="T244" s="56">
        <f t="shared" si="7"/>
        <v>442134.5</v>
      </c>
      <c r="U244" s="42"/>
      <c r="V244" s="42"/>
      <c r="W244" s="42"/>
      <c r="X244" s="42"/>
      <c r="Y244" s="42"/>
    </row>
    <row r="245" ht="15.75" customHeight="1" spans="1:25" x14ac:dyDescent="0.25">
      <c r="A245" s="26"/>
      <c r="B245" s="26"/>
      <c r="C245" s="26"/>
      <c r="D245" s="26"/>
      <c r="E245" s="70"/>
      <c r="F245" s="57"/>
      <c r="G245" s="26"/>
      <c r="H245" s="26"/>
      <c r="I245" s="70"/>
      <c r="J245" s="71"/>
      <c r="K245" s="71"/>
      <c r="L245" s="71"/>
      <c r="M245" s="71"/>
      <c r="N245" s="71"/>
      <c r="O245" s="71"/>
      <c r="P245" s="71"/>
      <c r="Q245" s="71"/>
      <c r="R245" s="26"/>
      <c r="S245" s="37"/>
      <c r="T245" s="56">
        <f t="shared" si="7"/>
        <v>442134.5</v>
      </c>
      <c r="U245" s="42"/>
      <c r="V245" s="42"/>
      <c r="W245" s="42"/>
      <c r="X245" s="42"/>
      <c r="Y245" s="42"/>
    </row>
    <row r="246" ht="15.75" customHeight="1" spans="1:25" x14ac:dyDescent="0.25">
      <c r="A246" s="26"/>
      <c r="B246" s="26"/>
      <c r="C246" s="26"/>
      <c r="D246" s="26"/>
      <c r="E246" s="70"/>
      <c r="F246" s="57"/>
      <c r="G246" s="26"/>
      <c r="H246" s="26"/>
      <c r="I246" s="70"/>
      <c r="J246" s="71"/>
      <c r="K246" s="71"/>
      <c r="L246" s="71"/>
      <c r="M246" s="71"/>
      <c r="N246" s="71"/>
      <c r="O246" s="71"/>
      <c r="P246" s="71"/>
      <c r="Q246" s="71"/>
      <c r="R246" s="26"/>
      <c r="S246" s="37"/>
      <c r="T246" s="56">
        <f t="shared" si="7"/>
        <v>442134.5</v>
      </c>
      <c r="U246" s="42"/>
      <c r="V246" s="42"/>
      <c r="W246" s="42"/>
      <c r="X246" s="42"/>
      <c r="Y246" s="42"/>
    </row>
    <row r="247" ht="15.75" customHeight="1" spans="1:25" x14ac:dyDescent="0.25">
      <c r="A247" s="26"/>
      <c r="B247" s="26"/>
      <c r="C247" s="26"/>
      <c r="D247" s="26"/>
      <c r="E247" s="70"/>
      <c r="F247" s="57"/>
      <c r="G247" s="26"/>
      <c r="H247" s="26"/>
      <c r="I247" s="70"/>
      <c r="J247" s="71"/>
      <c r="K247" s="71"/>
      <c r="L247" s="71"/>
      <c r="M247" s="71"/>
      <c r="N247" s="71"/>
      <c r="O247" s="71"/>
      <c r="P247" s="71"/>
      <c r="Q247" s="71"/>
      <c r="R247" s="26"/>
      <c r="S247" s="37"/>
      <c r="T247" s="56">
        <f t="shared" si="7"/>
        <v>442134.5</v>
      </c>
      <c r="U247" s="42"/>
      <c r="V247" s="42"/>
      <c r="W247" s="42"/>
      <c r="X247" s="42"/>
      <c r="Y247" s="42"/>
    </row>
    <row r="248" ht="15.75" customHeight="1" spans="1:25" x14ac:dyDescent="0.25">
      <c r="A248" s="26"/>
      <c r="B248" s="26"/>
      <c r="C248" s="26"/>
      <c r="D248" s="26"/>
      <c r="E248" s="70"/>
      <c r="F248" s="57"/>
      <c r="G248" s="26"/>
      <c r="H248" s="26"/>
      <c r="I248" s="70"/>
      <c r="J248" s="71"/>
      <c r="K248" s="71"/>
      <c r="L248" s="71"/>
      <c r="M248" s="71"/>
      <c r="N248" s="71"/>
      <c r="O248" s="71"/>
      <c r="P248" s="71"/>
      <c r="Q248" s="71"/>
      <c r="R248" s="26"/>
      <c r="S248" s="37"/>
      <c r="T248" s="56">
        <f t="shared" si="7"/>
        <v>442134.5</v>
      </c>
      <c r="U248" s="42"/>
      <c r="V248" s="42"/>
      <c r="W248" s="42"/>
      <c r="X248" s="42"/>
      <c r="Y248" s="42"/>
    </row>
    <row r="249" ht="15.75" customHeight="1" spans="1:25" x14ac:dyDescent="0.25">
      <c r="A249" s="25"/>
      <c r="B249" s="35"/>
      <c r="C249" s="25"/>
      <c r="D249" s="25"/>
      <c r="E249" s="53"/>
      <c r="F249" s="50"/>
      <c r="G249" s="35"/>
      <c r="H249" s="26"/>
      <c r="I249" s="70"/>
      <c r="J249" s="71"/>
      <c r="K249" s="71"/>
      <c r="L249" s="71"/>
      <c r="M249" s="71"/>
      <c r="N249" s="71"/>
      <c r="O249" s="71"/>
      <c r="P249" s="71"/>
      <c r="Q249" s="71"/>
      <c r="R249" s="26"/>
      <c r="S249" s="37"/>
      <c r="T249" s="56">
        <f t="shared" si="7"/>
        <v>442134.5</v>
      </c>
      <c r="U249" s="42"/>
      <c r="V249" s="42"/>
      <c r="W249" s="42"/>
      <c r="X249" s="42"/>
      <c r="Y249" s="42"/>
    </row>
    <row r="250" ht="15.75" customHeight="1" spans="1:25" x14ac:dyDescent="0.25">
      <c r="A250" s="25"/>
      <c r="B250" s="35"/>
      <c r="C250" s="25"/>
      <c r="D250" s="25"/>
      <c r="E250" s="53"/>
      <c r="F250" s="50"/>
      <c r="G250" s="35"/>
      <c r="H250" s="26"/>
      <c r="I250" s="70"/>
      <c r="J250" s="71"/>
      <c r="K250" s="71"/>
      <c r="L250" s="71"/>
      <c r="M250" s="71"/>
      <c r="N250" s="71"/>
      <c r="O250" s="71"/>
      <c r="P250" s="71"/>
      <c r="Q250" s="71"/>
      <c r="R250" s="26"/>
      <c r="S250" s="37"/>
      <c r="T250" s="56">
        <f t="shared" si="7"/>
        <v>442134.5</v>
      </c>
      <c r="U250" s="42"/>
      <c r="V250" s="42"/>
      <c r="W250" s="42"/>
      <c r="X250" s="42"/>
      <c r="Y250" s="42"/>
    </row>
    <row r="251" ht="15.75" customHeight="1" spans="1:25" x14ac:dyDescent="0.25">
      <c r="A251" s="25"/>
      <c r="B251" s="35"/>
      <c r="C251" s="25"/>
      <c r="D251" s="25"/>
      <c r="E251" s="53"/>
      <c r="F251" s="50"/>
      <c r="G251" s="35"/>
      <c r="H251" s="26"/>
      <c r="I251" s="70"/>
      <c r="J251" s="71"/>
      <c r="K251" s="71"/>
      <c r="L251" s="71"/>
      <c r="M251" s="71"/>
      <c r="N251" s="71"/>
      <c r="O251" s="71"/>
      <c r="P251" s="71"/>
      <c r="Q251" s="71"/>
      <c r="R251" s="26"/>
      <c r="S251" s="37"/>
      <c r="T251" s="56">
        <f t="shared" si="7"/>
        <v>442134.5</v>
      </c>
      <c r="U251" s="42"/>
      <c r="V251" s="42"/>
      <c r="W251" s="42"/>
      <c r="X251" s="42"/>
      <c r="Y251" s="42"/>
    </row>
    <row r="252" ht="15.75" customHeight="1" spans="1:25" x14ac:dyDescent="0.25">
      <c r="A252" s="25"/>
      <c r="B252" s="35"/>
      <c r="C252" s="25"/>
      <c r="D252" s="25"/>
      <c r="E252" s="53"/>
      <c r="F252" s="50"/>
      <c r="G252" s="25"/>
      <c r="H252" s="26"/>
      <c r="I252" s="70"/>
      <c r="J252" s="71"/>
      <c r="K252" s="71"/>
      <c r="L252" s="71"/>
      <c r="M252" s="71"/>
      <c r="N252" s="71"/>
      <c r="O252" s="71"/>
      <c r="P252" s="71"/>
      <c r="Q252" s="71"/>
      <c r="R252" s="26"/>
      <c r="S252" s="37"/>
      <c r="T252" s="56">
        <f t="shared" si="7"/>
        <v>442134.5</v>
      </c>
      <c r="U252" s="42"/>
      <c r="V252" s="42"/>
      <c r="W252" s="42"/>
      <c r="X252" s="42"/>
      <c r="Y252" s="42"/>
    </row>
    <row r="253" ht="15.75" customHeight="1" spans="1:25" x14ac:dyDescent="0.25">
      <c r="A253" s="25"/>
      <c r="B253" s="35"/>
      <c r="C253" s="25"/>
      <c r="D253" s="25"/>
      <c r="E253" s="53"/>
      <c r="F253" s="50"/>
      <c r="G253" s="35"/>
      <c r="H253" s="26"/>
      <c r="I253" s="70"/>
      <c r="J253" s="71"/>
      <c r="K253" s="71"/>
      <c r="L253" s="71"/>
      <c r="M253" s="71"/>
      <c r="N253" s="71"/>
      <c r="O253" s="71"/>
      <c r="P253" s="71"/>
      <c r="Q253" s="71"/>
      <c r="R253" s="26"/>
      <c r="S253" s="37"/>
      <c r="T253" s="56">
        <f t="shared" si="7"/>
        <v>442134.5</v>
      </c>
      <c r="U253" s="42"/>
      <c r="V253" s="42"/>
      <c r="W253" s="42"/>
      <c r="X253" s="42"/>
      <c r="Y253" s="42"/>
    </row>
    <row r="254" ht="15.75" customHeight="1" spans="1:25" x14ac:dyDescent="0.25">
      <c r="A254" s="25"/>
      <c r="B254" s="35"/>
      <c r="C254" s="25"/>
      <c r="D254" s="25"/>
      <c r="E254" s="53"/>
      <c r="F254" s="50"/>
      <c r="G254" s="35"/>
      <c r="H254" s="26"/>
      <c r="I254" s="70"/>
      <c r="J254" s="71"/>
      <c r="K254" s="71"/>
      <c r="L254" s="71"/>
      <c r="M254" s="71"/>
      <c r="N254" s="71"/>
      <c r="O254" s="71"/>
      <c r="P254" s="71"/>
      <c r="Q254" s="71"/>
      <c r="R254" s="26"/>
      <c r="S254" s="37"/>
      <c r="T254" s="56">
        <f t="shared" si="7"/>
        <v>442134.5</v>
      </c>
      <c r="U254" s="42"/>
      <c r="V254" s="42"/>
      <c r="W254" s="42"/>
      <c r="X254" s="42"/>
      <c r="Y254" s="42"/>
    </row>
    <row r="255" ht="15.75" customHeight="1" spans="1:25" x14ac:dyDescent="0.25">
      <c r="A255" s="25"/>
      <c r="B255" s="35"/>
      <c r="C255" s="25"/>
      <c r="D255" s="25"/>
      <c r="E255" s="53"/>
      <c r="F255" s="50"/>
      <c r="G255" s="35"/>
      <c r="H255" s="26"/>
      <c r="I255" s="70"/>
      <c r="J255" s="71"/>
      <c r="K255" s="71"/>
      <c r="L255" s="71"/>
      <c r="M255" s="71"/>
      <c r="N255" s="71"/>
      <c r="O255" s="71"/>
      <c r="P255" s="71"/>
      <c r="Q255" s="71"/>
      <c r="R255" s="26"/>
      <c r="S255" s="37"/>
      <c r="T255" s="56">
        <f t="shared" si="7"/>
        <v>442134.5</v>
      </c>
      <c r="U255" s="42"/>
      <c r="V255" s="42"/>
      <c r="W255" s="42"/>
      <c r="X255" s="42"/>
      <c r="Y255" s="42"/>
    </row>
    <row r="256" ht="15.75" customHeight="1" spans="1:25" x14ac:dyDescent="0.25">
      <c r="A256" s="25"/>
      <c r="B256" s="35"/>
      <c r="C256" s="25"/>
      <c r="D256" s="25"/>
      <c r="E256" s="53"/>
      <c r="F256" s="50"/>
      <c r="G256" s="35"/>
      <c r="H256" s="26"/>
      <c r="I256" s="70"/>
      <c r="J256" s="71"/>
      <c r="K256" s="71"/>
      <c r="L256" s="71"/>
      <c r="M256" s="71"/>
      <c r="N256" s="71"/>
      <c r="O256" s="71"/>
      <c r="P256" s="71"/>
      <c r="Q256" s="71"/>
      <c r="R256" s="26"/>
      <c r="S256" s="37"/>
      <c r="T256" s="56">
        <f t="shared" si="7"/>
        <v>442134.5</v>
      </c>
      <c r="U256" s="42"/>
      <c r="V256" s="42"/>
      <c r="W256" s="42"/>
      <c r="X256" s="42"/>
      <c r="Y256" s="42"/>
    </row>
    <row r="257" ht="15.75" customHeight="1" spans="1:25" x14ac:dyDescent="0.25">
      <c r="A257" s="25"/>
      <c r="B257" s="35"/>
      <c r="C257" s="25"/>
      <c r="D257" s="25"/>
      <c r="E257" s="53"/>
      <c r="F257" s="50"/>
      <c r="G257" s="25"/>
      <c r="H257" s="26"/>
      <c r="I257" s="70"/>
      <c r="J257" s="71"/>
      <c r="K257" s="71"/>
      <c r="L257" s="71"/>
      <c r="M257" s="71"/>
      <c r="N257" s="71"/>
      <c r="O257" s="71"/>
      <c r="P257" s="71"/>
      <c r="Q257" s="71"/>
      <c r="R257" s="26"/>
      <c r="S257" s="37"/>
      <c r="T257" s="56">
        <f t="shared" si="7"/>
        <v>442134.5</v>
      </c>
      <c r="U257" s="42"/>
      <c r="V257" s="42"/>
      <c r="W257" s="42"/>
      <c r="X257" s="42"/>
      <c r="Y257" s="42"/>
    </row>
    <row r="258" ht="15.75" customHeight="1" spans="1:25" x14ac:dyDescent="0.25">
      <c r="A258" s="26"/>
      <c r="B258" s="29"/>
      <c r="C258" s="26"/>
      <c r="D258" s="26"/>
      <c r="E258" s="56"/>
      <c r="F258" s="69"/>
      <c r="G258" s="26"/>
      <c r="H258" s="26"/>
      <c r="I258" s="70"/>
      <c r="J258" s="71"/>
      <c r="K258" s="71"/>
      <c r="L258" s="71"/>
      <c r="M258" s="71"/>
      <c r="N258" s="71"/>
      <c r="O258" s="71"/>
      <c r="P258" s="71"/>
      <c r="Q258" s="71"/>
      <c r="R258" s="26"/>
      <c r="S258" s="37"/>
      <c r="T258" s="56">
        <f>T257-E258+45000</f>
        <v>487134.5</v>
      </c>
      <c r="U258" s="42"/>
      <c r="V258" s="42"/>
      <c r="W258" s="42"/>
      <c r="X258" s="42"/>
      <c r="Y258" s="42"/>
    </row>
    <row r="259" ht="15.75" customHeight="1" spans="1:25" x14ac:dyDescent="0.25">
      <c r="A259" s="26"/>
      <c r="B259" s="29"/>
      <c r="C259" s="26"/>
      <c r="D259" s="26"/>
      <c r="E259" s="56"/>
      <c r="F259" s="57"/>
      <c r="G259" s="29"/>
      <c r="H259" s="26"/>
      <c r="I259" s="70"/>
      <c r="J259" s="71"/>
      <c r="K259" s="71"/>
      <c r="L259" s="71"/>
      <c r="M259" s="71"/>
      <c r="N259" s="71"/>
      <c r="O259" s="71"/>
      <c r="P259" s="71"/>
      <c r="Q259" s="71"/>
      <c r="R259" s="26"/>
      <c r="S259" s="37"/>
      <c r="T259" s="56">
        <f t="shared" ref="T259:T261" si="8">T258-E259</f>
        <v>487134.5</v>
      </c>
      <c r="U259" s="42"/>
      <c r="V259" s="42"/>
      <c r="W259" s="42"/>
      <c r="X259" s="42"/>
      <c r="Y259" s="42"/>
    </row>
    <row r="260" ht="15.75" customHeight="1" spans="1:25" x14ac:dyDescent="0.25">
      <c r="A260" s="26"/>
      <c r="B260" s="26"/>
      <c r="C260" s="26"/>
      <c r="D260" s="26"/>
      <c r="E260" s="70"/>
      <c r="F260" s="57"/>
      <c r="G260" s="26"/>
      <c r="H260" s="26"/>
      <c r="I260" s="70"/>
      <c r="J260" s="71"/>
      <c r="K260" s="71"/>
      <c r="L260" s="71"/>
      <c r="M260" s="71"/>
      <c r="N260" s="71"/>
      <c r="O260" s="71"/>
      <c r="P260" s="71"/>
      <c r="Q260" s="71"/>
      <c r="R260" s="26"/>
      <c r="S260" s="37"/>
      <c r="T260" s="56">
        <f t="shared" si="8"/>
        <v>487134.5</v>
      </c>
      <c r="U260" s="42"/>
      <c r="V260" s="42"/>
      <c r="W260" s="42"/>
      <c r="X260" s="42"/>
      <c r="Y260" s="42"/>
    </row>
    <row r="261" ht="15.75" customHeight="1" spans="1:25" x14ac:dyDescent="0.25">
      <c r="A261" s="26"/>
      <c r="B261" s="26"/>
      <c r="C261" s="26"/>
      <c r="D261" s="26"/>
      <c r="E261" s="70"/>
      <c r="F261" s="57"/>
      <c r="G261" s="26"/>
      <c r="H261" s="26"/>
      <c r="I261" s="70"/>
      <c r="J261" s="71"/>
      <c r="K261" s="71"/>
      <c r="L261" s="71"/>
      <c r="M261" s="71"/>
      <c r="N261" s="71"/>
      <c r="O261" s="71"/>
      <c r="P261" s="71"/>
      <c r="Q261" s="71"/>
      <c r="R261" s="26"/>
      <c r="S261" s="37"/>
      <c r="T261" s="56">
        <f t="shared" si="8"/>
        <v>487134.5</v>
      </c>
      <c r="U261" s="42"/>
      <c r="V261" s="42"/>
      <c r="W261" s="42"/>
      <c r="X261" s="42"/>
      <c r="Y261" s="42"/>
    </row>
    <row r="262" ht="15.75" customHeight="1" spans="1:25" x14ac:dyDescent="0.25">
      <c r="A262" s="26"/>
      <c r="B262" s="26"/>
      <c r="C262" s="26"/>
      <c r="D262" s="26"/>
      <c r="E262" s="70"/>
      <c r="F262" s="57"/>
      <c r="G262" s="26"/>
      <c r="H262" s="26"/>
      <c r="I262" s="70"/>
      <c r="J262" s="71"/>
      <c r="K262" s="71"/>
      <c r="L262" s="71"/>
      <c r="M262" s="71"/>
      <c r="N262" s="71"/>
      <c r="O262" s="71"/>
      <c r="P262" s="71"/>
      <c r="Q262" s="71"/>
      <c r="R262" s="26"/>
      <c r="S262" s="37"/>
      <c r="T262" s="26"/>
      <c r="U262" s="42"/>
      <c r="V262" s="42"/>
      <c r="W262" s="42"/>
      <c r="X262" s="42"/>
      <c r="Y262" s="42"/>
    </row>
    <row r="263" ht="15.75" customHeight="1" spans="1:25" x14ac:dyDescent="0.25">
      <c r="A263" s="26"/>
      <c r="B263" s="26"/>
      <c r="C263" s="26"/>
      <c r="D263" s="26"/>
      <c r="E263" s="70"/>
      <c r="F263" s="57"/>
      <c r="G263" s="26"/>
      <c r="H263" s="26"/>
      <c r="I263" s="70"/>
      <c r="J263" s="71"/>
      <c r="K263" s="71"/>
      <c r="L263" s="71"/>
      <c r="M263" s="71"/>
      <c r="N263" s="71"/>
      <c r="O263" s="71"/>
      <c r="P263" s="71"/>
      <c r="Q263" s="71"/>
      <c r="R263" s="26"/>
      <c r="S263" s="37"/>
      <c r="T263" s="26"/>
      <c r="U263" s="42"/>
      <c r="V263" s="42"/>
      <c r="W263" s="42"/>
      <c r="X263" s="42"/>
      <c r="Y263" s="42"/>
    </row>
    <row r="264" ht="15.75" customHeight="1" spans="1:25" x14ac:dyDescent="0.25">
      <c r="A264" s="26"/>
      <c r="B264" s="26"/>
      <c r="C264" s="26"/>
      <c r="D264" s="26"/>
      <c r="E264" s="70"/>
      <c r="F264" s="57"/>
      <c r="G264" s="26"/>
      <c r="H264" s="26"/>
      <c r="I264" s="70"/>
      <c r="J264" s="71"/>
      <c r="K264" s="71"/>
      <c r="L264" s="71"/>
      <c r="M264" s="71"/>
      <c r="N264" s="71"/>
      <c r="O264" s="71"/>
      <c r="P264" s="71"/>
      <c r="Q264" s="71"/>
      <c r="R264" s="26"/>
      <c r="S264" s="37"/>
      <c r="T264" s="26"/>
      <c r="U264" s="42"/>
      <c r="V264" s="42"/>
      <c r="W264" s="42"/>
      <c r="X264" s="42"/>
      <c r="Y264" s="42"/>
    </row>
    <row r="265" ht="15.75" customHeight="1" spans="1:25" x14ac:dyDescent="0.25">
      <c r="A265" s="26"/>
      <c r="B265" s="26"/>
      <c r="C265" s="26"/>
      <c r="D265" s="26"/>
      <c r="E265" s="70"/>
      <c r="F265" s="57"/>
      <c r="G265" s="26"/>
      <c r="H265" s="26"/>
      <c r="I265" s="70"/>
      <c r="J265" s="71"/>
      <c r="K265" s="71"/>
      <c r="L265" s="71"/>
      <c r="M265" s="71"/>
      <c r="N265" s="71"/>
      <c r="O265" s="71"/>
      <c r="P265" s="71"/>
      <c r="Q265" s="71"/>
      <c r="R265" s="26"/>
      <c r="S265" s="37"/>
      <c r="T265" s="26"/>
      <c r="U265" s="42"/>
      <c r="V265" s="42"/>
      <c r="W265" s="42"/>
      <c r="X265" s="42"/>
      <c r="Y265" s="42"/>
    </row>
    <row r="266" ht="15.75" customHeight="1" spans="1:25" x14ac:dyDescent="0.25">
      <c r="A266" s="26"/>
      <c r="B266" s="26"/>
      <c r="C266" s="26"/>
      <c r="D266" s="26"/>
      <c r="E266" s="70"/>
      <c r="F266" s="57"/>
      <c r="G266" s="26"/>
      <c r="H266" s="26"/>
      <c r="I266" s="70"/>
      <c r="J266" s="71"/>
      <c r="K266" s="71"/>
      <c r="L266" s="71"/>
      <c r="M266" s="71"/>
      <c r="N266" s="71"/>
      <c r="O266" s="71"/>
      <c r="P266" s="71"/>
      <c r="Q266" s="71"/>
      <c r="R266" s="26"/>
      <c r="S266" s="37"/>
      <c r="T266" s="26"/>
      <c r="U266" s="42"/>
      <c r="V266" s="42"/>
      <c r="W266" s="42"/>
      <c r="X266" s="42"/>
      <c r="Y266" s="42"/>
    </row>
    <row r="267" ht="15.75" customHeight="1" spans="1:25" x14ac:dyDescent="0.25">
      <c r="A267" s="26"/>
      <c r="B267" s="26"/>
      <c r="C267" s="26"/>
      <c r="D267" s="26"/>
      <c r="E267" s="70"/>
      <c r="F267" s="57"/>
      <c r="G267" s="26"/>
      <c r="H267" s="26"/>
      <c r="I267" s="70"/>
      <c r="J267" s="71"/>
      <c r="K267" s="71"/>
      <c r="L267" s="71"/>
      <c r="M267" s="71"/>
      <c r="N267" s="71"/>
      <c r="O267" s="71"/>
      <c r="P267" s="71"/>
      <c r="Q267" s="71"/>
      <c r="R267" s="26"/>
      <c r="S267" s="37"/>
      <c r="T267" s="26"/>
      <c r="U267" s="42"/>
      <c r="V267" s="42"/>
      <c r="W267" s="42"/>
      <c r="X267" s="42"/>
      <c r="Y267" s="42"/>
    </row>
    <row r="268" ht="15.75" customHeight="1" spans="1:25" x14ac:dyDescent="0.25">
      <c r="A268" s="26"/>
      <c r="B268" s="26"/>
      <c r="C268" s="26"/>
      <c r="D268" s="26"/>
      <c r="E268" s="70"/>
      <c r="F268" s="57"/>
      <c r="G268" s="26"/>
      <c r="H268" s="26"/>
      <c r="I268" s="70"/>
      <c r="J268" s="71"/>
      <c r="K268" s="71"/>
      <c r="L268" s="71"/>
      <c r="M268" s="71"/>
      <c r="N268" s="71"/>
      <c r="O268" s="71"/>
      <c r="P268" s="71"/>
      <c r="Q268" s="71"/>
      <c r="R268" s="26"/>
      <c r="S268" s="37"/>
      <c r="T268" s="26"/>
      <c r="U268" s="42"/>
      <c r="V268" s="42"/>
      <c r="W268" s="42"/>
      <c r="X268" s="42"/>
      <c r="Y268" s="42"/>
    </row>
    <row r="269" ht="15.75" customHeight="1" spans="1:25" x14ac:dyDescent="0.25">
      <c r="A269" s="26"/>
      <c r="B269" s="26"/>
      <c r="C269" s="26"/>
      <c r="D269" s="26"/>
      <c r="E269" s="70"/>
      <c r="F269" s="57"/>
      <c r="G269" s="26"/>
      <c r="H269" s="26"/>
      <c r="I269" s="70"/>
      <c r="J269" s="71"/>
      <c r="K269" s="71"/>
      <c r="L269" s="71"/>
      <c r="M269" s="71"/>
      <c r="N269" s="71"/>
      <c r="O269" s="71"/>
      <c r="P269" s="71"/>
      <c r="Q269" s="71"/>
      <c r="R269" s="26"/>
      <c r="S269" s="37"/>
      <c r="T269" s="26"/>
      <c r="U269" s="42"/>
      <c r="V269" s="42"/>
      <c r="W269" s="42"/>
      <c r="X269" s="42"/>
      <c r="Y269" s="42"/>
    </row>
    <row r="270" ht="15.75" customHeight="1" spans="1:25" x14ac:dyDescent="0.25">
      <c r="A270" s="26"/>
      <c r="B270" s="26"/>
      <c r="C270" s="26"/>
      <c r="D270" s="26"/>
      <c r="E270" s="70"/>
      <c r="F270" s="57"/>
      <c r="G270" s="26"/>
      <c r="H270" s="26"/>
      <c r="I270" s="70"/>
      <c r="J270" s="71"/>
      <c r="K270" s="71"/>
      <c r="L270" s="71"/>
      <c r="M270" s="71"/>
      <c r="N270" s="71"/>
      <c r="O270" s="71"/>
      <c r="P270" s="71"/>
      <c r="Q270" s="71"/>
      <c r="R270" s="26"/>
      <c r="S270" s="37"/>
      <c r="T270" s="26"/>
      <c r="U270" s="42"/>
      <c r="V270" s="42"/>
      <c r="W270" s="42"/>
      <c r="X270" s="42"/>
      <c r="Y270" s="42"/>
    </row>
    <row r="271" ht="15.75" customHeight="1" spans="1:25" x14ac:dyDescent="0.25">
      <c r="A271" s="26"/>
      <c r="B271" s="26"/>
      <c r="C271" s="26"/>
      <c r="D271" s="26"/>
      <c r="E271" s="70"/>
      <c r="F271" s="57"/>
      <c r="G271" s="26"/>
      <c r="H271" s="26"/>
      <c r="I271" s="70"/>
      <c r="J271" s="71"/>
      <c r="K271" s="71"/>
      <c r="L271" s="71"/>
      <c r="M271" s="71"/>
      <c r="N271" s="71"/>
      <c r="O271" s="71"/>
      <c r="P271" s="71"/>
      <c r="Q271" s="71"/>
      <c r="R271" s="26"/>
      <c r="S271" s="37"/>
      <c r="T271" s="26"/>
      <c r="U271" s="42"/>
      <c r="V271" s="42"/>
      <c r="W271" s="42"/>
      <c r="X271" s="42"/>
      <c r="Y271" s="42"/>
    </row>
    <row r="272" ht="15.75" customHeight="1" spans="1:25" x14ac:dyDescent="0.25">
      <c r="A272" s="26"/>
      <c r="B272" s="26"/>
      <c r="C272" s="26"/>
      <c r="D272" s="26"/>
      <c r="E272" s="70"/>
      <c r="F272" s="57"/>
      <c r="G272" s="26"/>
      <c r="H272" s="26"/>
      <c r="I272" s="70"/>
      <c r="J272" s="71"/>
      <c r="K272" s="71"/>
      <c r="L272" s="71"/>
      <c r="M272" s="71"/>
      <c r="N272" s="71"/>
      <c r="O272" s="71"/>
      <c r="P272" s="71"/>
      <c r="Q272" s="71"/>
      <c r="R272" s="26"/>
      <c r="S272" s="37"/>
      <c r="T272" s="26"/>
      <c r="U272" s="42"/>
      <c r="V272" s="42"/>
      <c r="W272" s="42"/>
      <c r="X272" s="42"/>
      <c r="Y272" s="42"/>
    </row>
    <row r="273" ht="15.75" customHeight="1" spans="1:25" x14ac:dyDescent="0.25">
      <c r="A273" s="26"/>
      <c r="B273" s="26"/>
      <c r="C273" s="26"/>
      <c r="D273" s="26"/>
      <c r="E273" s="70"/>
      <c r="F273" s="57"/>
      <c r="G273" s="26"/>
      <c r="H273" s="26"/>
      <c r="I273" s="70"/>
      <c r="J273" s="71"/>
      <c r="K273" s="71"/>
      <c r="L273" s="71"/>
      <c r="M273" s="71"/>
      <c r="N273" s="71"/>
      <c r="O273" s="71"/>
      <c r="P273" s="71"/>
      <c r="Q273" s="71"/>
      <c r="R273" s="26"/>
      <c r="S273" s="37"/>
      <c r="T273" s="26"/>
      <c r="U273" s="42"/>
      <c r="V273" s="42"/>
      <c r="W273" s="42"/>
      <c r="X273" s="42"/>
      <c r="Y273" s="42"/>
    </row>
    <row r="274" ht="15.75" customHeight="1" spans="1:25" x14ac:dyDescent="0.25">
      <c r="A274" s="26"/>
      <c r="B274" s="26"/>
      <c r="C274" s="26"/>
      <c r="D274" s="26"/>
      <c r="E274" s="70"/>
      <c r="F274" s="57"/>
      <c r="G274" s="26"/>
      <c r="H274" s="26"/>
      <c r="I274" s="70"/>
      <c r="J274" s="71"/>
      <c r="K274" s="71"/>
      <c r="L274" s="71"/>
      <c r="M274" s="71"/>
      <c r="N274" s="71"/>
      <c r="O274" s="71"/>
      <c r="P274" s="71"/>
      <c r="Q274" s="71"/>
      <c r="R274" s="26"/>
      <c r="S274" s="37"/>
      <c r="T274" s="26"/>
      <c r="U274" s="42"/>
      <c r="V274" s="42"/>
      <c r="W274" s="42"/>
      <c r="X274" s="42"/>
      <c r="Y274" s="42"/>
    </row>
    <row r="275" ht="15.75" customHeight="1" spans="1:25" x14ac:dyDescent="0.25">
      <c r="A275" s="26"/>
      <c r="B275" s="26"/>
      <c r="C275" s="26"/>
      <c r="D275" s="26"/>
      <c r="E275" s="70"/>
      <c r="F275" s="57"/>
      <c r="G275" s="26"/>
      <c r="H275" s="26"/>
      <c r="I275" s="70"/>
      <c r="J275" s="71"/>
      <c r="K275" s="71"/>
      <c r="L275" s="71"/>
      <c r="M275" s="71"/>
      <c r="N275" s="71"/>
      <c r="O275" s="71"/>
      <c r="P275" s="71"/>
      <c r="Q275" s="71"/>
      <c r="R275" s="26"/>
      <c r="S275" s="37"/>
      <c r="T275" s="26"/>
      <c r="U275" s="42"/>
      <c r="V275" s="42"/>
      <c r="W275" s="42"/>
      <c r="X275" s="42"/>
      <c r="Y275" s="42"/>
    </row>
    <row r="276" ht="15.75" customHeight="1" spans="1:25" x14ac:dyDescent="0.25">
      <c r="A276" s="26"/>
      <c r="B276" s="26"/>
      <c r="C276" s="26"/>
      <c r="D276" s="26"/>
      <c r="E276" s="70"/>
      <c r="F276" s="57"/>
      <c r="G276" s="26"/>
      <c r="H276" s="26"/>
      <c r="I276" s="70"/>
      <c r="J276" s="71"/>
      <c r="K276" s="71"/>
      <c r="L276" s="71"/>
      <c r="M276" s="71"/>
      <c r="N276" s="71"/>
      <c r="O276" s="71"/>
      <c r="P276" s="71"/>
      <c r="Q276" s="71"/>
      <c r="R276" s="26"/>
      <c r="S276" s="37"/>
      <c r="T276" s="26"/>
      <c r="U276" s="42"/>
      <c r="V276" s="42"/>
      <c r="W276" s="42"/>
      <c r="X276" s="42"/>
      <c r="Y276" s="42"/>
    </row>
    <row r="277" ht="15.75" customHeight="1" spans="1:25" x14ac:dyDescent="0.25">
      <c r="A277" s="26"/>
      <c r="B277" s="26"/>
      <c r="C277" s="26"/>
      <c r="D277" s="26"/>
      <c r="E277" s="70"/>
      <c r="F277" s="57"/>
      <c r="G277" s="26"/>
      <c r="H277" s="26"/>
      <c r="I277" s="70"/>
      <c r="J277" s="71"/>
      <c r="K277" s="71"/>
      <c r="L277" s="71"/>
      <c r="M277" s="71"/>
      <c r="N277" s="71"/>
      <c r="O277" s="71"/>
      <c r="P277" s="71"/>
      <c r="Q277" s="71"/>
      <c r="R277" s="26"/>
      <c r="S277" s="37"/>
      <c r="T277" s="26"/>
      <c r="U277" s="42"/>
      <c r="V277" s="42"/>
      <c r="W277" s="42"/>
      <c r="X277" s="42"/>
      <c r="Y277" s="42"/>
    </row>
    <row r="278" ht="15.75" customHeight="1" spans="1:25" x14ac:dyDescent="0.25">
      <c r="A278" s="26"/>
      <c r="B278" s="26"/>
      <c r="C278" s="26"/>
      <c r="D278" s="26"/>
      <c r="E278" s="70"/>
      <c r="F278" s="57"/>
      <c r="G278" s="26"/>
      <c r="H278" s="26"/>
      <c r="I278" s="70"/>
      <c r="J278" s="71"/>
      <c r="K278" s="71"/>
      <c r="L278" s="71"/>
      <c r="M278" s="71"/>
      <c r="N278" s="71"/>
      <c r="O278" s="71"/>
      <c r="P278" s="71"/>
      <c r="Q278" s="71"/>
      <c r="R278" s="26"/>
      <c r="S278" s="37"/>
      <c r="T278" s="26"/>
      <c r="U278" s="42"/>
      <c r="V278" s="42"/>
      <c r="W278" s="42"/>
      <c r="X278" s="42"/>
      <c r="Y278" s="42"/>
    </row>
    <row r="279" ht="15.75" customHeight="1" spans="1:25" x14ac:dyDescent="0.25">
      <c r="A279" s="26"/>
      <c r="B279" s="26"/>
      <c r="C279" s="26"/>
      <c r="D279" s="26"/>
      <c r="E279" s="70"/>
      <c r="F279" s="57"/>
      <c r="G279" s="26"/>
      <c r="H279" s="26"/>
      <c r="I279" s="70"/>
      <c r="J279" s="71"/>
      <c r="K279" s="71"/>
      <c r="L279" s="71"/>
      <c r="M279" s="71"/>
      <c r="N279" s="71"/>
      <c r="O279" s="71"/>
      <c r="P279" s="71"/>
      <c r="Q279" s="71"/>
      <c r="R279" s="26"/>
      <c r="S279" s="37"/>
      <c r="T279" s="26"/>
      <c r="U279" s="42"/>
      <c r="V279" s="42"/>
      <c r="W279" s="42"/>
      <c r="X279" s="42"/>
      <c r="Y279" s="42"/>
    </row>
    <row r="280" ht="15.75" customHeight="1" spans="1:25" x14ac:dyDescent="0.25">
      <c r="A280" s="26"/>
      <c r="B280" s="26"/>
      <c r="C280" s="26"/>
      <c r="D280" s="26"/>
      <c r="E280" s="70"/>
      <c r="F280" s="57"/>
      <c r="G280" s="26"/>
      <c r="H280" s="26"/>
      <c r="I280" s="70"/>
      <c r="J280" s="71"/>
      <c r="K280" s="71"/>
      <c r="L280" s="71"/>
      <c r="M280" s="71"/>
      <c r="N280" s="71"/>
      <c r="O280" s="71"/>
      <c r="P280" s="71"/>
      <c r="Q280" s="71"/>
      <c r="R280" s="26"/>
      <c r="S280" s="37"/>
      <c r="T280" s="26"/>
      <c r="U280" s="42"/>
      <c r="V280" s="42"/>
      <c r="W280" s="42"/>
      <c r="X280" s="42"/>
      <c r="Y280" s="42"/>
    </row>
    <row r="281" ht="15.75" customHeight="1" spans="1:25" x14ac:dyDescent="0.25">
      <c r="A281" s="26"/>
      <c r="B281" s="26"/>
      <c r="C281" s="26"/>
      <c r="D281" s="26"/>
      <c r="E281" s="70"/>
      <c r="F281" s="57"/>
      <c r="G281" s="26"/>
      <c r="H281" s="26"/>
      <c r="I281" s="70"/>
      <c r="J281" s="71"/>
      <c r="K281" s="71"/>
      <c r="L281" s="71"/>
      <c r="M281" s="71"/>
      <c r="N281" s="71"/>
      <c r="O281" s="71"/>
      <c r="P281" s="71"/>
      <c r="Q281" s="71"/>
      <c r="R281" s="26"/>
      <c r="S281" s="37"/>
      <c r="T281" s="26"/>
      <c r="U281" s="42"/>
      <c r="V281" s="42"/>
      <c r="W281" s="42"/>
      <c r="X281" s="42"/>
      <c r="Y281" s="42"/>
    </row>
    <row r="282" ht="15.75" customHeight="1" spans="1:25" x14ac:dyDescent="0.25">
      <c r="A282" s="26"/>
      <c r="B282" s="26"/>
      <c r="C282" s="26"/>
      <c r="D282" s="26"/>
      <c r="E282" s="70"/>
      <c r="F282" s="57"/>
      <c r="G282" s="26"/>
      <c r="H282" s="26"/>
      <c r="I282" s="70"/>
      <c r="J282" s="71"/>
      <c r="K282" s="71"/>
      <c r="L282" s="71"/>
      <c r="M282" s="71"/>
      <c r="N282" s="71"/>
      <c r="O282" s="71"/>
      <c r="P282" s="71"/>
      <c r="Q282" s="71"/>
      <c r="R282" s="26"/>
      <c r="S282" s="37"/>
      <c r="T282" s="26"/>
      <c r="U282" s="42"/>
      <c r="V282" s="42"/>
      <c r="W282" s="42"/>
      <c r="X282" s="42"/>
      <c r="Y282" s="42"/>
    </row>
    <row r="283" ht="15.75" customHeight="1" spans="1:25" x14ac:dyDescent="0.25">
      <c r="A283" s="26"/>
      <c r="B283" s="26"/>
      <c r="C283" s="26"/>
      <c r="D283" s="26"/>
      <c r="E283" s="70"/>
      <c r="F283" s="57"/>
      <c r="G283" s="26"/>
      <c r="H283" s="26"/>
      <c r="I283" s="70"/>
      <c r="J283" s="71"/>
      <c r="K283" s="71"/>
      <c r="L283" s="71"/>
      <c r="M283" s="71"/>
      <c r="N283" s="71"/>
      <c r="O283" s="71"/>
      <c r="P283" s="71"/>
      <c r="Q283" s="71"/>
      <c r="R283" s="26"/>
      <c r="S283" s="37"/>
      <c r="T283" s="26"/>
      <c r="U283" s="42"/>
      <c r="V283" s="42"/>
      <c r="W283" s="42"/>
      <c r="X283" s="42"/>
      <c r="Y283" s="42"/>
    </row>
    <row r="284" ht="15.75" customHeight="1" spans="1:25" x14ac:dyDescent="0.25">
      <c r="A284" s="26"/>
      <c r="B284" s="26"/>
      <c r="C284" s="26"/>
      <c r="D284" s="26"/>
      <c r="E284" s="70"/>
      <c r="F284" s="57"/>
      <c r="G284" s="26"/>
      <c r="H284" s="26"/>
      <c r="I284" s="70"/>
      <c r="J284" s="71"/>
      <c r="K284" s="71"/>
      <c r="L284" s="71"/>
      <c r="M284" s="71"/>
      <c r="N284" s="71"/>
      <c r="O284" s="71"/>
      <c r="P284" s="71"/>
      <c r="Q284" s="71"/>
      <c r="R284" s="26"/>
      <c r="S284" s="37"/>
      <c r="T284" s="26"/>
      <c r="U284" s="42"/>
      <c r="V284" s="42"/>
      <c r="W284" s="42"/>
      <c r="X284" s="42"/>
      <c r="Y284" s="42"/>
    </row>
    <row r="285" ht="15.75" customHeight="1" spans="1:25" x14ac:dyDescent="0.25">
      <c r="A285" s="26"/>
      <c r="B285" s="26"/>
      <c r="C285" s="26"/>
      <c r="D285" s="26"/>
      <c r="E285" s="70"/>
      <c r="F285" s="57"/>
      <c r="G285" s="26"/>
      <c r="H285" s="26"/>
      <c r="I285" s="70"/>
      <c r="J285" s="71"/>
      <c r="K285" s="71"/>
      <c r="L285" s="71"/>
      <c r="M285" s="71"/>
      <c r="N285" s="71"/>
      <c r="O285" s="71"/>
      <c r="P285" s="71"/>
      <c r="Q285" s="71"/>
      <c r="R285" s="26"/>
      <c r="S285" s="37"/>
      <c r="T285" s="26"/>
      <c r="U285" s="42"/>
      <c r="V285" s="42"/>
      <c r="W285" s="42"/>
      <c r="X285" s="42"/>
      <c r="Y285" s="42"/>
    </row>
    <row r="286" ht="15.75" customHeight="1" spans="1:25" x14ac:dyDescent="0.25">
      <c r="A286" s="26"/>
      <c r="B286" s="26"/>
      <c r="C286" s="26"/>
      <c r="D286" s="26"/>
      <c r="E286" s="70"/>
      <c r="F286" s="57"/>
      <c r="G286" s="26"/>
      <c r="H286" s="26"/>
      <c r="I286" s="70"/>
      <c r="J286" s="71"/>
      <c r="K286" s="71"/>
      <c r="L286" s="71"/>
      <c r="M286" s="71"/>
      <c r="N286" s="71"/>
      <c r="O286" s="71"/>
      <c r="P286" s="71"/>
      <c r="Q286" s="71"/>
      <c r="R286" s="26"/>
      <c r="S286" s="37"/>
      <c r="T286" s="26"/>
      <c r="U286" s="42"/>
      <c r="V286" s="42"/>
      <c r="W286" s="42"/>
      <c r="X286" s="42"/>
      <c r="Y286" s="42"/>
    </row>
    <row r="287" ht="15.75" customHeight="1" spans="1:25" x14ac:dyDescent="0.25">
      <c r="A287" s="26"/>
      <c r="B287" s="26"/>
      <c r="C287" s="26"/>
      <c r="D287" s="26"/>
      <c r="E287" s="70"/>
      <c r="F287" s="57"/>
      <c r="G287" s="26"/>
      <c r="H287" s="26"/>
      <c r="I287" s="70"/>
      <c r="J287" s="71"/>
      <c r="K287" s="71"/>
      <c r="L287" s="71"/>
      <c r="M287" s="71"/>
      <c r="N287" s="71"/>
      <c r="O287" s="71"/>
      <c r="P287" s="71"/>
      <c r="Q287" s="71"/>
      <c r="R287" s="26"/>
      <c r="S287" s="37"/>
      <c r="T287" s="26"/>
      <c r="U287" s="42"/>
      <c r="V287" s="42"/>
      <c r="W287" s="42"/>
      <c r="X287" s="42"/>
      <c r="Y287" s="42"/>
    </row>
    <row r="288" ht="15.75" customHeight="1" spans="1:25" x14ac:dyDescent="0.25">
      <c r="A288" s="26"/>
      <c r="B288" s="26"/>
      <c r="C288" s="26"/>
      <c r="D288" s="26"/>
      <c r="E288" s="70"/>
      <c r="F288" s="57"/>
      <c r="G288" s="26"/>
      <c r="H288" s="26"/>
      <c r="I288" s="70"/>
      <c r="J288" s="71"/>
      <c r="K288" s="71"/>
      <c r="L288" s="71"/>
      <c r="M288" s="71"/>
      <c r="N288" s="71"/>
      <c r="O288" s="71"/>
      <c r="P288" s="71"/>
      <c r="Q288" s="71"/>
      <c r="R288" s="26"/>
      <c r="S288" s="37"/>
      <c r="T288" s="26"/>
      <c r="U288" s="42"/>
      <c r="V288" s="42"/>
      <c r="W288" s="42"/>
      <c r="X288" s="42"/>
      <c r="Y288" s="42"/>
    </row>
    <row r="289" ht="15.75" customHeight="1" spans="1:25" x14ac:dyDescent="0.25">
      <c r="A289" s="26"/>
      <c r="B289" s="26"/>
      <c r="C289" s="26"/>
      <c r="D289" s="26"/>
      <c r="E289" s="70"/>
      <c r="F289" s="57"/>
      <c r="G289" s="26"/>
      <c r="H289" s="26"/>
      <c r="I289" s="70"/>
      <c r="J289" s="71"/>
      <c r="K289" s="71"/>
      <c r="L289" s="71"/>
      <c r="M289" s="71"/>
      <c r="N289" s="71"/>
      <c r="O289" s="71"/>
      <c r="P289" s="71"/>
      <c r="Q289" s="71"/>
      <c r="R289" s="26"/>
      <c r="S289" s="37"/>
      <c r="T289" s="26"/>
      <c r="U289" s="42"/>
      <c r="V289" s="42"/>
      <c r="W289" s="42"/>
      <c r="X289" s="42"/>
      <c r="Y289" s="42"/>
    </row>
    <row r="290" ht="15.75" customHeight="1" spans="1:25" x14ac:dyDescent="0.25">
      <c r="A290" s="26"/>
      <c r="B290" s="26"/>
      <c r="C290" s="26"/>
      <c r="D290" s="26"/>
      <c r="E290" s="70"/>
      <c r="F290" s="57"/>
      <c r="G290" s="26"/>
      <c r="H290" s="26"/>
      <c r="I290" s="70"/>
      <c r="J290" s="71"/>
      <c r="K290" s="71"/>
      <c r="L290" s="71"/>
      <c r="M290" s="71"/>
      <c r="N290" s="71"/>
      <c r="O290" s="71"/>
      <c r="P290" s="71"/>
      <c r="Q290" s="71"/>
      <c r="R290" s="26"/>
      <c r="S290" s="37"/>
      <c r="T290" s="26"/>
      <c r="U290" s="42"/>
      <c r="V290" s="42"/>
      <c r="W290" s="42"/>
      <c r="X290" s="42"/>
      <c r="Y290" s="42"/>
    </row>
    <row r="291" ht="15.75" customHeight="1" spans="1:25" x14ac:dyDescent="0.25">
      <c r="A291" s="26"/>
      <c r="B291" s="26"/>
      <c r="C291" s="26"/>
      <c r="D291" s="26"/>
      <c r="E291" s="70"/>
      <c r="F291" s="57"/>
      <c r="G291" s="26"/>
      <c r="H291" s="26"/>
      <c r="I291" s="70"/>
      <c r="J291" s="71"/>
      <c r="K291" s="71"/>
      <c r="L291" s="71"/>
      <c r="M291" s="71"/>
      <c r="N291" s="71"/>
      <c r="O291" s="71"/>
      <c r="P291" s="71"/>
      <c r="Q291" s="71"/>
      <c r="R291" s="26"/>
      <c r="S291" s="37"/>
      <c r="T291" s="26"/>
      <c r="U291" s="42"/>
      <c r="V291" s="42"/>
      <c r="W291" s="42"/>
      <c r="X291" s="42"/>
      <c r="Y291" s="42"/>
    </row>
    <row r="292" ht="15.75" customHeight="1" spans="1:25" x14ac:dyDescent="0.25">
      <c r="A292" s="26"/>
      <c r="B292" s="26"/>
      <c r="C292" s="26"/>
      <c r="D292" s="26"/>
      <c r="E292" s="70"/>
      <c r="F292" s="57"/>
      <c r="G292" s="26"/>
      <c r="H292" s="26"/>
      <c r="I292" s="70"/>
      <c r="J292" s="71"/>
      <c r="K292" s="71"/>
      <c r="L292" s="71"/>
      <c r="M292" s="71"/>
      <c r="N292" s="71"/>
      <c r="O292" s="71"/>
      <c r="P292" s="71"/>
      <c r="Q292" s="71"/>
      <c r="R292" s="26"/>
      <c r="S292" s="37"/>
      <c r="T292" s="26"/>
      <c r="U292" s="42"/>
      <c r="V292" s="42"/>
      <c r="W292" s="42"/>
      <c r="X292" s="42"/>
      <c r="Y292" s="42"/>
    </row>
    <row r="293" ht="15.75" customHeight="1" spans="1:25" x14ac:dyDescent="0.25">
      <c r="A293" s="26"/>
      <c r="B293" s="26"/>
      <c r="C293" s="26"/>
      <c r="D293" s="26"/>
      <c r="E293" s="70"/>
      <c r="F293" s="57"/>
      <c r="G293" s="26"/>
      <c r="H293" s="26"/>
      <c r="I293" s="70"/>
      <c r="J293" s="71"/>
      <c r="K293" s="71"/>
      <c r="L293" s="71"/>
      <c r="M293" s="71"/>
      <c r="N293" s="71"/>
      <c r="O293" s="71"/>
      <c r="P293" s="71"/>
      <c r="Q293" s="71"/>
      <c r="R293" s="26"/>
      <c r="S293" s="37"/>
      <c r="T293" s="26"/>
      <c r="U293" s="42"/>
      <c r="V293" s="42"/>
      <c r="W293" s="42"/>
      <c r="X293" s="42"/>
      <c r="Y293" s="42"/>
    </row>
    <row r="294" ht="15.75" customHeight="1" spans="1:25" x14ac:dyDescent="0.25">
      <c r="A294" s="26"/>
      <c r="B294" s="26"/>
      <c r="C294" s="26"/>
      <c r="D294" s="26"/>
      <c r="E294" s="70"/>
      <c r="F294" s="57"/>
      <c r="G294" s="26"/>
      <c r="H294" s="26"/>
      <c r="I294" s="70"/>
      <c r="J294" s="71"/>
      <c r="K294" s="71"/>
      <c r="L294" s="71"/>
      <c r="M294" s="71"/>
      <c r="N294" s="71"/>
      <c r="O294" s="71"/>
      <c r="P294" s="71"/>
      <c r="Q294" s="71"/>
      <c r="R294" s="26"/>
      <c r="S294" s="37"/>
      <c r="T294" s="26"/>
      <c r="U294" s="42"/>
      <c r="V294" s="42"/>
      <c r="W294" s="42"/>
      <c r="X294" s="42"/>
      <c r="Y294" s="42"/>
    </row>
    <row r="295" ht="15.75" customHeight="1" spans="1:25" x14ac:dyDescent="0.25">
      <c r="A295" s="26"/>
      <c r="B295" s="26"/>
      <c r="C295" s="26"/>
      <c r="D295" s="26"/>
      <c r="E295" s="70"/>
      <c r="F295" s="57"/>
      <c r="G295" s="26"/>
      <c r="H295" s="26"/>
      <c r="I295" s="70"/>
      <c r="J295" s="71"/>
      <c r="K295" s="71"/>
      <c r="L295" s="71"/>
      <c r="M295" s="71"/>
      <c r="N295" s="71"/>
      <c r="O295" s="71"/>
      <c r="P295" s="71"/>
      <c r="Q295" s="71"/>
      <c r="R295" s="26"/>
      <c r="S295" s="37"/>
      <c r="T295" s="26"/>
      <c r="U295" s="42"/>
      <c r="V295" s="42"/>
      <c r="W295" s="42"/>
      <c r="X295" s="42"/>
      <c r="Y295" s="42"/>
    </row>
    <row r="296" ht="15.75" customHeight="1" spans="1:25" x14ac:dyDescent="0.25">
      <c r="A296" s="26"/>
      <c r="B296" s="26"/>
      <c r="C296" s="26"/>
      <c r="D296" s="26"/>
      <c r="E296" s="70"/>
      <c r="F296" s="57"/>
      <c r="G296" s="26"/>
      <c r="H296" s="26"/>
      <c r="I296" s="70"/>
      <c r="J296" s="71"/>
      <c r="K296" s="71"/>
      <c r="L296" s="71"/>
      <c r="M296" s="71"/>
      <c r="N296" s="71"/>
      <c r="O296" s="71"/>
      <c r="P296" s="71"/>
      <c r="Q296" s="71"/>
      <c r="R296" s="26"/>
      <c r="S296" s="37"/>
      <c r="T296" s="26"/>
      <c r="U296" s="42"/>
      <c r="V296" s="42"/>
      <c r="W296" s="42"/>
      <c r="X296" s="42"/>
      <c r="Y296" s="42"/>
    </row>
    <row r="297" ht="15.75" customHeight="1" spans="1:25" x14ac:dyDescent="0.25">
      <c r="A297" s="26"/>
      <c r="B297" s="26"/>
      <c r="C297" s="26"/>
      <c r="D297" s="26"/>
      <c r="E297" s="70"/>
      <c r="F297" s="57"/>
      <c r="G297" s="26"/>
      <c r="H297" s="26"/>
      <c r="I297" s="70"/>
      <c r="J297" s="71"/>
      <c r="K297" s="71"/>
      <c r="L297" s="71"/>
      <c r="M297" s="71"/>
      <c r="N297" s="71"/>
      <c r="O297" s="71"/>
      <c r="P297" s="71"/>
      <c r="Q297" s="71"/>
      <c r="R297" s="26"/>
      <c r="S297" s="37"/>
      <c r="T297" s="26"/>
      <c r="U297" s="42"/>
      <c r="V297" s="42"/>
      <c r="W297" s="42"/>
      <c r="X297" s="42"/>
      <c r="Y297" s="42"/>
    </row>
    <row r="298" ht="15.75" customHeight="1" spans="1:25" x14ac:dyDescent="0.25">
      <c r="A298" s="42"/>
      <c r="B298" s="42"/>
      <c r="C298" s="42"/>
      <c r="D298" s="42"/>
      <c r="E298" s="58"/>
      <c r="F298" s="43"/>
      <c r="G298" s="42"/>
      <c r="H298" s="42"/>
      <c r="I298" s="58"/>
      <c r="J298" s="59"/>
      <c r="K298" s="59"/>
      <c r="L298" s="59"/>
      <c r="M298" s="59"/>
      <c r="N298" s="59"/>
      <c r="O298" s="59"/>
      <c r="P298" s="59"/>
      <c r="Q298" s="59"/>
      <c r="R298" s="42"/>
      <c r="S298" s="44"/>
      <c r="T298" s="42"/>
      <c r="U298" s="42"/>
      <c r="V298" s="42"/>
      <c r="W298" s="42"/>
      <c r="X298" s="42"/>
      <c r="Y298" s="42"/>
    </row>
    <row r="299" ht="15.75" customHeight="1" spans="1:25" x14ac:dyDescent="0.25">
      <c r="A299" s="42"/>
      <c r="B299" s="42"/>
      <c r="C299" s="42"/>
      <c r="D299" s="42"/>
      <c r="E299" s="58"/>
      <c r="F299" s="43"/>
      <c r="G299" s="42"/>
      <c r="H299" s="42"/>
      <c r="I299" s="58"/>
      <c r="J299" s="59"/>
      <c r="K299" s="59"/>
      <c r="L299" s="59"/>
      <c r="M299" s="59"/>
      <c r="N299" s="59"/>
      <c r="O299" s="59"/>
      <c r="P299" s="59"/>
      <c r="Q299" s="59"/>
      <c r="R299" s="42"/>
      <c r="S299" s="44"/>
      <c r="T299" s="42"/>
      <c r="U299" s="42"/>
      <c r="V299" s="42"/>
      <c r="W299" s="42"/>
      <c r="X299" s="42"/>
      <c r="Y299" s="42"/>
    </row>
    <row r="300" ht="15.75" customHeight="1" spans="1:25" x14ac:dyDescent="0.25">
      <c r="A300" s="42"/>
      <c r="B300" s="42"/>
      <c r="C300" s="42"/>
      <c r="D300" s="42"/>
      <c r="E300" s="58"/>
      <c r="F300" s="43"/>
      <c r="G300" s="42"/>
      <c r="H300" s="42"/>
      <c r="I300" s="58"/>
      <c r="J300" s="59"/>
      <c r="K300" s="59"/>
      <c r="L300" s="59"/>
      <c r="M300" s="59"/>
      <c r="N300" s="59"/>
      <c r="O300" s="59"/>
      <c r="P300" s="59"/>
      <c r="Q300" s="59"/>
      <c r="R300" s="42"/>
      <c r="S300" s="44"/>
      <c r="T300" s="42"/>
      <c r="U300" s="42"/>
      <c r="V300" s="42"/>
      <c r="W300" s="42"/>
      <c r="X300" s="42"/>
      <c r="Y300" s="42"/>
    </row>
    <row r="301" ht="15.75" customHeight="1" spans="1:25" x14ac:dyDescent="0.25">
      <c r="A301" s="42"/>
      <c r="B301" s="42"/>
      <c r="C301" s="42"/>
      <c r="D301" s="42"/>
      <c r="E301" s="58"/>
      <c r="F301" s="43"/>
      <c r="G301" s="42"/>
      <c r="H301" s="42"/>
      <c r="I301" s="58"/>
      <c r="J301" s="59"/>
      <c r="K301" s="59"/>
      <c r="L301" s="59"/>
      <c r="M301" s="59"/>
      <c r="N301" s="59"/>
      <c r="O301" s="59"/>
      <c r="P301" s="59"/>
      <c r="Q301" s="59"/>
      <c r="R301" s="42"/>
      <c r="S301" s="44"/>
      <c r="T301" s="42"/>
      <c r="U301" s="42"/>
      <c r="V301" s="42"/>
      <c r="W301" s="42"/>
      <c r="X301" s="42"/>
      <c r="Y301" s="42"/>
    </row>
    <row r="302" ht="15.75" customHeight="1" spans="1:25" x14ac:dyDescent="0.25">
      <c r="A302" s="42"/>
      <c r="B302" s="42"/>
      <c r="C302" s="42"/>
      <c r="D302" s="42"/>
      <c r="E302" s="58"/>
      <c r="F302" s="43"/>
      <c r="G302" s="42"/>
      <c r="H302" s="42"/>
      <c r="I302" s="58"/>
      <c r="J302" s="59"/>
      <c r="K302" s="59"/>
      <c r="L302" s="59"/>
      <c r="M302" s="59"/>
      <c r="N302" s="59"/>
      <c r="O302" s="59"/>
      <c r="P302" s="59"/>
      <c r="Q302" s="59"/>
      <c r="R302" s="42"/>
      <c r="S302" s="44"/>
      <c r="T302" s="42"/>
      <c r="U302" s="42"/>
      <c r="V302" s="42"/>
      <c r="W302" s="42"/>
      <c r="X302" s="42"/>
      <c r="Y302" s="42"/>
    </row>
    <row r="303" ht="15.75" customHeight="1" spans="1:25" x14ac:dyDescent="0.25">
      <c r="A303" s="42"/>
      <c r="B303" s="42"/>
      <c r="C303" s="42"/>
      <c r="D303" s="42"/>
      <c r="E303" s="58"/>
      <c r="F303" s="43"/>
      <c r="G303" s="42"/>
      <c r="H303" s="42"/>
      <c r="I303" s="58"/>
      <c r="J303" s="59"/>
      <c r="K303" s="59"/>
      <c r="L303" s="59"/>
      <c r="M303" s="59"/>
      <c r="N303" s="59"/>
      <c r="O303" s="59"/>
      <c r="P303" s="59"/>
      <c r="Q303" s="59"/>
      <c r="R303" s="42"/>
      <c r="S303" s="44"/>
      <c r="T303" s="42"/>
      <c r="U303" s="42"/>
      <c r="V303" s="42"/>
      <c r="W303" s="42"/>
      <c r="X303" s="42"/>
      <c r="Y303" s="42"/>
    </row>
    <row r="304" ht="15.75" customHeight="1" spans="1:25" x14ac:dyDescent="0.25">
      <c r="A304" s="42"/>
      <c r="B304" s="42"/>
      <c r="C304" s="42"/>
      <c r="D304" s="42"/>
      <c r="E304" s="58"/>
      <c r="F304" s="43"/>
      <c r="G304" s="42"/>
      <c r="H304" s="42"/>
      <c r="I304" s="58"/>
      <c r="J304" s="59"/>
      <c r="K304" s="59"/>
      <c r="L304" s="59"/>
      <c r="M304" s="59"/>
      <c r="N304" s="59"/>
      <c r="O304" s="59"/>
      <c r="P304" s="59"/>
      <c r="Q304" s="59"/>
      <c r="R304" s="42"/>
      <c r="S304" s="44"/>
      <c r="T304" s="42"/>
      <c r="U304" s="42"/>
      <c r="V304" s="42"/>
      <c r="W304" s="42"/>
      <c r="X304" s="42"/>
      <c r="Y304" s="42"/>
    </row>
    <row r="305" ht="15.75" customHeight="1" spans="1:25" x14ac:dyDescent="0.25">
      <c r="A305" s="42"/>
      <c r="B305" s="42"/>
      <c r="C305" s="42"/>
      <c r="D305" s="42"/>
      <c r="E305" s="58"/>
      <c r="F305" s="43"/>
      <c r="G305" s="42"/>
      <c r="H305" s="42"/>
      <c r="I305" s="58"/>
      <c r="J305" s="59"/>
      <c r="K305" s="59"/>
      <c r="L305" s="59"/>
      <c r="M305" s="59"/>
      <c r="N305" s="59"/>
      <c r="O305" s="59"/>
      <c r="P305" s="59"/>
      <c r="Q305" s="59"/>
      <c r="R305" s="42"/>
      <c r="S305" s="44"/>
      <c r="T305" s="42"/>
      <c r="U305" s="42"/>
      <c r="V305" s="42"/>
      <c r="W305" s="42"/>
      <c r="X305" s="42"/>
      <c r="Y305" s="42"/>
    </row>
    <row r="306" ht="15.75" customHeight="1" spans="1:25" x14ac:dyDescent="0.25">
      <c r="A306" s="42"/>
      <c r="B306" s="42"/>
      <c r="C306" s="42"/>
      <c r="D306" s="42"/>
      <c r="E306" s="58"/>
      <c r="F306" s="43"/>
      <c r="G306" s="42"/>
      <c r="H306" s="42"/>
      <c r="I306" s="58"/>
      <c r="J306" s="59"/>
      <c r="K306" s="59"/>
      <c r="L306" s="59"/>
      <c r="M306" s="59"/>
      <c r="N306" s="59"/>
      <c r="O306" s="59"/>
      <c r="P306" s="59"/>
      <c r="Q306" s="59"/>
      <c r="R306" s="42"/>
      <c r="S306" s="44"/>
      <c r="T306" s="42"/>
      <c r="U306" s="42"/>
      <c r="V306" s="42"/>
      <c r="W306" s="42"/>
      <c r="X306" s="42"/>
      <c r="Y306" s="42"/>
    </row>
    <row r="307" ht="15.75" customHeight="1" spans="1:25" x14ac:dyDescent="0.25">
      <c r="A307" s="42"/>
      <c r="B307" s="42"/>
      <c r="C307" s="42"/>
      <c r="D307" s="42"/>
      <c r="E307" s="58"/>
      <c r="F307" s="43"/>
      <c r="G307" s="42"/>
      <c r="H307" s="42"/>
      <c r="I307" s="58"/>
      <c r="J307" s="59"/>
      <c r="K307" s="59"/>
      <c r="L307" s="59"/>
      <c r="M307" s="59"/>
      <c r="N307" s="59"/>
      <c r="O307" s="59"/>
      <c r="P307" s="59"/>
      <c r="Q307" s="59"/>
      <c r="R307" s="42"/>
      <c r="S307" s="44"/>
      <c r="T307" s="42"/>
      <c r="U307" s="42"/>
      <c r="V307" s="42"/>
      <c r="W307" s="42"/>
      <c r="X307" s="42"/>
      <c r="Y307" s="42"/>
    </row>
    <row r="308" ht="15.75" customHeight="1" spans="1:25" x14ac:dyDescent="0.25">
      <c r="A308" s="42"/>
      <c r="B308" s="42"/>
      <c r="C308" s="42"/>
      <c r="D308" s="42"/>
      <c r="E308" s="58"/>
      <c r="F308" s="43"/>
      <c r="G308" s="42"/>
      <c r="H308" s="42"/>
      <c r="I308" s="58"/>
      <c r="J308" s="59"/>
      <c r="K308" s="59"/>
      <c r="L308" s="59"/>
      <c r="M308" s="59"/>
      <c r="N308" s="59"/>
      <c r="O308" s="59"/>
      <c r="P308" s="59"/>
      <c r="Q308" s="59"/>
      <c r="R308" s="42"/>
      <c r="S308" s="44"/>
      <c r="T308" s="42"/>
      <c r="U308" s="42"/>
      <c r="V308" s="42"/>
      <c r="W308" s="42"/>
      <c r="X308" s="42"/>
      <c r="Y308" s="42"/>
    </row>
    <row r="309" ht="15.75" customHeight="1" spans="1:25" x14ac:dyDescent="0.25">
      <c r="A309" s="42"/>
      <c r="B309" s="42"/>
      <c r="C309" s="42"/>
      <c r="D309" s="42"/>
      <c r="E309" s="58"/>
      <c r="F309" s="43"/>
      <c r="G309" s="42"/>
      <c r="H309" s="42"/>
      <c r="I309" s="58"/>
      <c r="J309" s="59"/>
      <c r="K309" s="59"/>
      <c r="L309" s="59"/>
      <c r="M309" s="59"/>
      <c r="N309" s="59"/>
      <c r="O309" s="59"/>
      <c r="P309" s="59"/>
      <c r="Q309" s="59"/>
      <c r="R309" s="42"/>
      <c r="S309" s="44"/>
      <c r="T309" s="42"/>
      <c r="U309" s="42"/>
      <c r="V309" s="42"/>
      <c r="W309" s="42"/>
      <c r="X309" s="42"/>
      <c r="Y309" s="42"/>
    </row>
    <row r="310" ht="15.75" customHeight="1" spans="1:25" x14ac:dyDescent="0.25">
      <c r="A310" s="42"/>
      <c r="B310" s="42"/>
      <c r="C310" s="42"/>
      <c r="D310" s="42"/>
      <c r="E310" s="58"/>
      <c r="F310" s="43"/>
      <c r="G310" s="42"/>
      <c r="H310" s="42"/>
      <c r="I310" s="58"/>
      <c r="J310" s="59"/>
      <c r="K310" s="59"/>
      <c r="L310" s="59"/>
      <c r="M310" s="59"/>
      <c r="N310" s="59"/>
      <c r="O310" s="59"/>
      <c r="P310" s="59"/>
      <c r="Q310" s="59"/>
      <c r="R310" s="42"/>
      <c r="S310" s="44"/>
      <c r="T310" s="42"/>
      <c r="U310" s="42"/>
      <c r="V310" s="42"/>
      <c r="W310" s="42"/>
      <c r="X310" s="42"/>
      <c r="Y310" s="42"/>
    </row>
    <row r="311" ht="15.75" customHeight="1" spans="1:25" x14ac:dyDescent="0.25">
      <c r="A311" s="42"/>
      <c r="B311" s="42"/>
      <c r="C311" s="42"/>
      <c r="D311" s="42"/>
      <c r="E311" s="58"/>
      <c r="F311" s="43"/>
      <c r="G311" s="42"/>
      <c r="H311" s="42"/>
      <c r="I311" s="58"/>
      <c r="J311" s="59"/>
      <c r="K311" s="59"/>
      <c r="L311" s="59"/>
      <c r="M311" s="59"/>
      <c r="N311" s="59"/>
      <c r="O311" s="59"/>
      <c r="P311" s="59"/>
      <c r="Q311" s="59"/>
      <c r="R311" s="42"/>
      <c r="S311" s="44"/>
      <c r="T311" s="42"/>
      <c r="U311" s="42"/>
      <c r="V311" s="42"/>
      <c r="W311" s="42"/>
      <c r="X311" s="42"/>
      <c r="Y311" s="42"/>
    </row>
    <row r="312" ht="15.75" customHeight="1" spans="1:25" x14ac:dyDescent="0.25">
      <c r="A312" s="42"/>
      <c r="B312" s="42"/>
      <c r="C312" s="42"/>
      <c r="D312" s="42"/>
      <c r="E312" s="58"/>
      <c r="F312" s="43"/>
      <c r="G312" s="42"/>
      <c r="H312" s="42"/>
      <c r="I312" s="58"/>
      <c r="J312" s="59"/>
      <c r="K312" s="59"/>
      <c r="L312" s="59"/>
      <c r="M312" s="59"/>
      <c r="N312" s="59"/>
      <c r="O312" s="59"/>
      <c r="P312" s="59"/>
      <c r="Q312" s="59"/>
      <c r="R312" s="42"/>
      <c r="S312" s="44"/>
      <c r="T312" s="42"/>
      <c r="U312" s="42"/>
      <c r="V312" s="42"/>
      <c r="W312" s="42"/>
      <c r="X312" s="42"/>
      <c r="Y312" s="42"/>
    </row>
    <row r="313" ht="15.75" customHeight="1" spans="1:25" x14ac:dyDescent="0.25">
      <c r="A313" s="42"/>
      <c r="B313" s="42"/>
      <c r="C313" s="42"/>
      <c r="D313" s="42"/>
      <c r="E313" s="58"/>
      <c r="F313" s="43"/>
      <c r="G313" s="42"/>
      <c r="H313" s="42"/>
      <c r="I313" s="58"/>
      <c r="J313" s="59"/>
      <c r="K313" s="59"/>
      <c r="L313" s="59"/>
      <c r="M313" s="59"/>
      <c r="N313" s="59"/>
      <c r="O313" s="59"/>
      <c r="P313" s="59"/>
      <c r="Q313" s="59"/>
      <c r="R313" s="42"/>
      <c r="S313" s="44"/>
      <c r="T313" s="42"/>
      <c r="U313" s="42"/>
      <c r="V313" s="42"/>
      <c r="W313" s="42"/>
      <c r="X313" s="42"/>
      <c r="Y313" s="42"/>
    </row>
    <row r="314" ht="15.75" customHeight="1" spans="1:25" x14ac:dyDescent="0.25">
      <c r="A314" s="42"/>
      <c r="B314" s="42"/>
      <c r="C314" s="42"/>
      <c r="D314" s="42"/>
      <c r="E314" s="58"/>
      <c r="F314" s="43"/>
      <c r="G314" s="42"/>
      <c r="H314" s="42"/>
      <c r="I314" s="58"/>
      <c r="J314" s="59"/>
      <c r="K314" s="59"/>
      <c r="L314" s="59"/>
      <c r="M314" s="59"/>
      <c r="N314" s="59"/>
      <c r="O314" s="59"/>
      <c r="P314" s="59"/>
      <c r="Q314" s="59"/>
      <c r="R314" s="42"/>
      <c r="S314" s="44"/>
      <c r="T314" s="42"/>
      <c r="U314" s="42"/>
      <c r="V314" s="42"/>
      <c r="W314" s="42"/>
      <c r="X314" s="42"/>
      <c r="Y314" s="42"/>
    </row>
    <row r="315" ht="15.75" customHeight="1" spans="1:25" x14ac:dyDescent="0.25">
      <c r="A315" s="42"/>
      <c r="B315" s="42"/>
      <c r="C315" s="42"/>
      <c r="D315" s="42"/>
      <c r="E315" s="58"/>
      <c r="F315" s="43"/>
      <c r="G315" s="42"/>
      <c r="H315" s="42"/>
      <c r="I315" s="58"/>
      <c r="J315" s="59"/>
      <c r="K315" s="59"/>
      <c r="L315" s="59"/>
      <c r="M315" s="59"/>
      <c r="N315" s="59"/>
      <c r="O315" s="59"/>
      <c r="P315" s="59"/>
      <c r="Q315" s="59"/>
      <c r="R315" s="42"/>
      <c r="S315" s="44"/>
      <c r="T315" s="42"/>
      <c r="U315" s="42"/>
      <c r="V315" s="42"/>
      <c r="W315" s="42"/>
      <c r="X315" s="42"/>
      <c r="Y315" s="42"/>
    </row>
    <row r="316" ht="15.75" customHeight="1" spans="1:25" x14ac:dyDescent="0.25">
      <c r="A316" s="42"/>
      <c r="B316" s="42"/>
      <c r="C316" s="42"/>
      <c r="D316" s="42"/>
      <c r="E316" s="58"/>
      <c r="F316" s="43"/>
      <c r="G316" s="42"/>
      <c r="H316" s="42"/>
      <c r="I316" s="58"/>
      <c r="J316" s="59"/>
      <c r="K316" s="59"/>
      <c r="L316" s="59"/>
      <c r="M316" s="59"/>
      <c r="N316" s="59"/>
      <c r="O316" s="59"/>
      <c r="P316" s="59"/>
      <c r="Q316" s="59"/>
      <c r="R316" s="42"/>
      <c r="S316" s="44"/>
      <c r="T316" s="42"/>
      <c r="U316" s="42"/>
      <c r="V316" s="42"/>
      <c r="W316" s="42"/>
      <c r="X316" s="42"/>
      <c r="Y316" s="42"/>
    </row>
    <row r="317" ht="15.75" customHeight="1" spans="1:25" x14ac:dyDescent="0.25">
      <c r="A317" s="42"/>
      <c r="B317" s="42"/>
      <c r="C317" s="42"/>
      <c r="D317" s="42"/>
      <c r="E317" s="58"/>
      <c r="F317" s="43"/>
      <c r="G317" s="42"/>
      <c r="H317" s="42"/>
      <c r="I317" s="58"/>
      <c r="J317" s="59"/>
      <c r="K317" s="59"/>
      <c r="L317" s="59"/>
      <c r="M317" s="59"/>
      <c r="N317" s="59"/>
      <c r="O317" s="59"/>
      <c r="P317" s="59"/>
      <c r="Q317" s="59"/>
      <c r="R317" s="42"/>
      <c r="S317" s="44"/>
      <c r="T317" s="42"/>
      <c r="U317" s="42"/>
      <c r="V317" s="42"/>
      <c r="W317" s="42"/>
      <c r="X317" s="42"/>
      <c r="Y317" s="42"/>
    </row>
    <row r="318" ht="15.75" customHeight="1" spans="1:25" x14ac:dyDescent="0.25">
      <c r="A318" s="42"/>
      <c r="B318" s="42"/>
      <c r="C318" s="42"/>
      <c r="D318" s="42"/>
      <c r="E318" s="58"/>
      <c r="F318" s="43"/>
      <c r="G318" s="42"/>
      <c r="H318" s="42"/>
      <c r="I318" s="58"/>
      <c r="J318" s="59"/>
      <c r="K318" s="59"/>
      <c r="L318" s="59"/>
      <c r="M318" s="59"/>
      <c r="N318" s="59"/>
      <c r="O318" s="59"/>
      <c r="P318" s="59"/>
      <c r="Q318" s="59"/>
      <c r="R318" s="42"/>
      <c r="S318" s="44"/>
      <c r="T318" s="42"/>
      <c r="U318" s="42"/>
      <c r="V318" s="42"/>
      <c r="W318" s="42"/>
      <c r="X318" s="42"/>
      <c r="Y318" s="42"/>
    </row>
    <row r="319" ht="15.75" customHeight="1" spans="1:25" x14ac:dyDescent="0.25">
      <c r="A319" s="42"/>
      <c r="B319" s="42"/>
      <c r="C319" s="42"/>
      <c r="D319" s="42"/>
      <c r="E319" s="58"/>
      <c r="F319" s="43"/>
      <c r="G319" s="42"/>
      <c r="H319" s="42"/>
      <c r="I319" s="58"/>
      <c r="J319" s="59"/>
      <c r="K319" s="59"/>
      <c r="L319" s="59"/>
      <c r="M319" s="59"/>
      <c r="N319" s="59"/>
      <c r="O319" s="59"/>
      <c r="P319" s="59"/>
      <c r="Q319" s="59"/>
      <c r="R319" s="42"/>
      <c r="S319" s="44"/>
      <c r="T319" s="42"/>
      <c r="U319" s="42"/>
      <c r="V319" s="42"/>
      <c r="W319" s="42"/>
      <c r="X319" s="42"/>
      <c r="Y319" s="42"/>
    </row>
    <row r="320" ht="15.75" customHeight="1" spans="1:25" x14ac:dyDescent="0.25">
      <c r="A320" s="42"/>
      <c r="B320" s="42"/>
      <c r="C320" s="42"/>
      <c r="D320" s="42"/>
      <c r="E320" s="58"/>
      <c r="F320" s="43"/>
      <c r="G320" s="42"/>
      <c r="H320" s="42"/>
      <c r="I320" s="58"/>
      <c r="J320" s="59"/>
      <c r="K320" s="59"/>
      <c r="L320" s="59"/>
      <c r="M320" s="59"/>
      <c r="N320" s="59"/>
      <c r="O320" s="59"/>
      <c r="P320" s="59"/>
      <c r="Q320" s="59"/>
      <c r="R320" s="42"/>
      <c r="S320" s="44"/>
      <c r="T320" s="42"/>
      <c r="U320" s="42"/>
      <c r="V320" s="42"/>
      <c r="W320" s="42"/>
      <c r="X320" s="42"/>
      <c r="Y320" s="42"/>
    </row>
    <row r="321" ht="15.75" customHeight="1" spans="1:25" x14ac:dyDescent="0.25">
      <c r="A321" s="42"/>
      <c r="B321" s="42"/>
      <c r="C321" s="42"/>
      <c r="D321" s="42"/>
      <c r="E321" s="58"/>
      <c r="F321" s="43"/>
      <c r="G321" s="42"/>
      <c r="H321" s="42"/>
      <c r="I321" s="58"/>
      <c r="J321" s="59"/>
      <c r="K321" s="59"/>
      <c r="L321" s="59"/>
      <c r="M321" s="59"/>
      <c r="N321" s="59"/>
      <c r="O321" s="59"/>
      <c r="P321" s="59"/>
      <c r="Q321" s="59"/>
      <c r="R321" s="42"/>
      <c r="S321" s="44"/>
      <c r="T321" s="42"/>
      <c r="U321" s="42"/>
      <c r="V321" s="42"/>
      <c r="W321" s="42"/>
      <c r="X321" s="42"/>
      <c r="Y321" s="42"/>
    </row>
    <row r="322" ht="15.75" customHeight="1" spans="1:25" x14ac:dyDescent="0.25">
      <c r="A322" s="42"/>
      <c r="B322" s="42"/>
      <c r="C322" s="42"/>
      <c r="D322" s="42"/>
      <c r="E322" s="58"/>
      <c r="F322" s="43"/>
      <c r="G322" s="42"/>
      <c r="H322" s="42"/>
      <c r="I322" s="58"/>
      <c r="J322" s="59"/>
      <c r="K322" s="59"/>
      <c r="L322" s="59"/>
      <c r="M322" s="59"/>
      <c r="N322" s="59"/>
      <c r="O322" s="59"/>
      <c r="P322" s="59"/>
      <c r="Q322" s="59"/>
      <c r="R322" s="42"/>
      <c r="S322" s="44"/>
      <c r="T322" s="42"/>
      <c r="U322" s="42"/>
      <c r="V322" s="42"/>
      <c r="W322" s="42"/>
      <c r="X322" s="42"/>
      <c r="Y322" s="42"/>
    </row>
    <row r="323" ht="15.75" customHeight="1" spans="1:25" x14ac:dyDescent="0.25">
      <c r="A323" s="42"/>
      <c r="B323" s="42"/>
      <c r="C323" s="42"/>
      <c r="D323" s="42"/>
      <c r="E323" s="58"/>
      <c r="F323" s="43"/>
      <c r="G323" s="42"/>
      <c r="H323" s="42"/>
      <c r="I323" s="58"/>
      <c r="J323" s="59"/>
      <c r="K323" s="59"/>
      <c r="L323" s="59"/>
      <c r="M323" s="59"/>
      <c r="N323" s="59"/>
      <c r="O323" s="59"/>
      <c r="P323" s="59"/>
      <c r="Q323" s="59"/>
      <c r="R323" s="42"/>
      <c r="S323" s="44"/>
      <c r="T323" s="42"/>
      <c r="U323" s="42"/>
      <c r="V323" s="42"/>
      <c r="W323" s="42"/>
      <c r="X323" s="42"/>
      <c r="Y323" s="42"/>
    </row>
    <row r="324" ht="15.75" customHeight="1" spans="1:25" x14ac:dyDescent="0.25">
      <c r="A324" s="42"/>
      <c r="B324" s="42"/>
      <c r="C324" s="42"/>
      <c r="D324" s="42"/>
      <c r="E324" s="58"/>
      <c r="F324" s="43"/>
      <c r="G324" s="42"/>
      <c r="H324" s="42"/>
      <c r="I324" s="58"/>
      <c r="J324" s="59"/>
      <c r="K324" s="59"/>
      <c r="L324" s="59"/>
      <c r="M324" s="59"/>
      <c r="N324" s="59"/>
      <c r="O324" s="59"/>
      <c r="P324" s="59"/>
      <c r="Q324" s="59"/>
      <c r="R324" s="42"/>
      <c r="S324" s="44"/>
      <c r="T324" s="42"/>
      <c r="U324" s="42"/>
      <c r="V324" s="42"/>
      <c r="W324" s="42"/>
      <c r="X324" s="42"/>
      <c r="Y324" s="42"/>
    </row>
    <row r="325" ht="15.75" customHeight="1" spans="1:25" x14ac:dyDescent="0.25">
      <c r="A325" s="42"/>
      <c r="B325" s="42"/>
      <c r="C325" s="42"/>
      <c r="D325" s="42"/>
      <c r="E325" s="58"/>
      <c r="F325" s="43"/>
      <c r="G325" s="42"/>
      <c r="H325" s="42"/>
      <c r="I325" s="58"/>
      <c r="J325" s="59"/>
      <c r="K325" s="59"/>
      <c r="L325" s="59"/>
      <c r="M325" s="59"/>
      <c r="N325" s="59"/>
      <c r="O325" s="59"/>
      <c r="P325" s="59"/>
      <c r="Q325" s="59"/>
      <c r="R325" s="42"/>
      <c r="S325" s="44"/>
      <c r="T325" s="42"/>
      <c r="U325" s="42"/>
      <c r="V325" s="42"/>
      <c r="W325" s="42"/>
      <c r="X325" s="42"/>
      <c r="Y325" s="42"/>
    </row>
    <row r="326" ht="15.75" customHeight="1" spans="1:25" x14ac:dyDescent="0.25">
      <c r="A326" s="42"/>
      <c r="B326" s="42"/>
      <c r="C326" s="42"/>
      <c r="D326" s="42"/>
      <c r="E326" s="58"/>
      <c r="F326" s="43"/>
      <c r="G326" s="42"/>
      <c r="H326" s="42"/>
      <c r="I326" s="58"/>
      <c r="J326" s="59"/>
      <c r="K326" s="59"/>
      <c r="L326" s="59"/>
      <c r="M326" s="59"/>
      <c r="N326" s="59"/>
      <c r="O326" s="59"/>
      <c r="P326" s="59"/>
      <c r="Q326" s="59"/>
      <c r="R326" s="42"/>
      <c r="S326" s="44"/>
      <c r="T326" s="42"/>
      <c r="U326" s="42"/>
      <c r="V326" s="42"/>
      <c r="W326" s="42"/>
      <c r="X326" s="42"/>
      <c r="Y326" s="42"/>
    </row>
    <row r="327" ht="15.75" customHeight="1" spans="1:25" x14ac:dyDescent="0.25">
      <c r="A327" s="42"/>
      <c r="B327" s="42"/>
      <c r="C327" s="42"/>
      <c r="D327" s="42"/>
      <c r="E327" s="58"/>
      <c r="F327" s="43"/>
      <c r="G327" s="42"/>
      <c r="H327" s="42"/>
      <c r="I327" s="58"/>
      <c r="J327" s="59"/>
      <c r="K327" s="59"/>
      <c r="L327" s="59"/>
      <c r="M327" s="59"/>
      <c r="N327" s="59"/>
      <c r="O327" s="59"/>
      <c r="P327" s="59"/>
      <c r="Q327" s="59"/>
      <c r="R327" s="42"/>
      <c r="S327" s="44"/>
      <c r="T327" s="42"/>
      <c r="U327" s="42"/>
      <c r="V327" s="42"/>
      <c r="W327" s="42"/>
      <c r="X327" s="42"/>
      <c r="Y327" s="42"/>
    </row>
    <row r="328" ht="15.75" customHeight="1" spans="1:25" x14ac:dyDescent="0.25">
      <c r="A328" s="42"/>
      <c r="B328" s="42"/>
      <c r="C328" s="42"/>
      <c r="D328" s="42"/>
      <c r="E328" s="58"/>
      <c r="F328" s="43"/>
      <c r="G328" s="42"/>
      <c r="H328" s="42"/>
      <c r="I328" s="58"/>
      <c r="J328" s="59"/>
      <c r="K328" s="59"/>
      <c r="L328" s="59"/>
      <c r="M328" s="59"/>
      <c r="N328" s="59"/>
      <c r="O328" s="59"/>
      <c r="P328" s="59"/>
      <c r="Q328" s="59"/>
      <c r="R328" s="42"/>
      <c r="S328" s="44"/>
      <c r="T328" s="42"/>
      <c r="U328" s="42"/>
      <c r="V328" s="42"/>
      <c r="W328" s="42"/>
      <c r="X328" s="42"/>
      <c r="Y328" s="42"/>
    </row>
    <row r="329" ht="15.75" customHeight="1" spans="1:25" x14ac:dyDescent="0.25">
      <c r="A329" s="42"/>
      <c r="B329" s="42"/>
      <c r="C329" s="42"/>
      <c r="D329" s="42"/>
      <c r="E329" s="58"/>
      <c r="F329" s="43"/>
      <c r="G329" s="42"/>
      <c r="H329" s="42"/>
      <c r="I329" s="58"/>
      <c r="J329" s="59"/>
      <c r="K329" s="59"/>
      <c r="L329" s="59"/>
      <c r="M329" s="59"/>
      <c r="N329" s="59"/>
      <c r="O329" s="59"/>
      <c r="P329" s="59"/>
      <c r="Q329" s="59"/>
      <c r="R329" s="42"/>
      <c r="S329" s="44"/>
      <c r="T329" s="42"/>
      <c r="U329" s="42"/>
      <c r="V329" s="42"/>
      <c r="W329" s="42"/>
      <c r="X329" s="42"/>
      <c r="Y329" s="42"/>
    </row>
    <row r="330" ht="15.75" customHeight="1" spans="1:25" x14ac:dyDescent="0.25">
      <c r="A330" s="42"/>
      <c r="B330" s="42"/>
      <c r="C330" s="42"/>
      <c r="D330" s="42"/>
      <c r="E330" s="58"/>
      <c r="F330" s="43"/>
      <c r="G330" s="42"/>
      <c r="H330" s="42"/>
      <c r="I330" s="58"/>
      <c r="J330" s="59"/>
      <c r="K330" s="59"/>
      <c r="L330" s="59"/>
      <c r="M330" s="59"/>
      <c r="N330" s="59"/>
      <c r="O330" s="59"/>
      <c r="P330" s="59"/>
      <c r="Q330" s="59"/>
      <c r="R330" s="42"/>
      <c r="S330" s="44"/>
      <c r="T330" s="42"/>
      <c r="U330" s="42"/>
      <c r="V330" s="42"/>
      <c r="W330" s="42"/>
      <c r="X330" s="42"/>
      <c r="Y330" s="42"/>
    </row>
    <row r="331" ht="15.75" customHeight="1" spans="1:25" x14ac:dyDescent="0.25">
      <c r="A331" s="42"/>
      <c r="B331" s="42"/>
      <c r="C331" s="42"/>
      <c r="D331" s="42"/>
      <c r="E331" s="58"/>
      <c r="F331" s="43"/>
      <c r="G331" s="42"/>
      <c r="H331" s="42"/>
      <c r="I331" s="58"/>
      <c r="J331" s="59"/>
      <c r="K331" s="59"/>
      <c r="L331" s="59"/>
      <c r="M331" s="59"/>
      <c r="N331" s="59"/>
      <c r="O331" s="59"/>
      <c r="P331" s="59"/>
      <c r="Q331" s="59"/>
      <c r="R331" s="42"/>
      <c r="S331" s="44"/>
      <c r="T331" s="42"/>
      <c r="U331" s="42"/>
      <c r="V331" s="42"/>
      <c r="W331" s="42"/>
      <c r="X331" s="42"/>
      <c r="Y331" s="42"/>
    </row>
    <row r="332" ht="15.75" customHeight="1" spans="1:25" x14ac:dyDescent="0.25">
      <c r="A332" s="42"/>
      <c r="B332" s="42"/>
      <c r="C332" s="42"/>
      <c r="D332" s="42"/>
      <c r="E332" s="58"/>
      <c r="F332" s="43"/>
      <c r="G332" s="42"/>
      <c r="H332" s="42"/>
      <c r="I332" s="58"/>
      <c r="J332" s="59"/>
      <c r="K332" s="59"/>
      <c r="L332" s="59"/>
      <c r="M332" s="59"/>
      <c r="N332" s="59"/>
      <c r="O332" s="59"/>
      <c r="P332" s="59"/>
      <c r="Q332" s="59"/>
      <c r="R332" s="42"/>
      <c r="S332" s="44"/>
      <c r="T332" s="42"/>
      <c r="U332" s="42"/>
      <c r="V332" s="42"/>
      <c r="W332" s="42"/>
      <c r="X332" s="42"/>
      <c r="Y332" s="42"/>
    </row>
    <row r="333" ht="15.75" customHeight="1" spans="1:25" x14ac:dyDescent="0.25">
      <c r="A333" s="42"/>
      <c r="B333" s="42"/>
      <c r="C333" s="42"/>
      <c r="D333" s="42"/>
      <c r="E333" s="58"/>
      <c r="F333" s="43"/>
      <c r="G333" s="42"/>
      <c r="H333" s="42"/>
      <c r="I333" s="58"/>
      <c r="J333" s="59"/>
      <c r="K333" s="59"/>
      <c r="L333" s="59"/>
      <c r="M333" s="59"/>
      <c r="N333" s="59"/>
      <c r="O333" s="59"/>
      <c r="P333" s="59"/>
      <c r="Q333" s="59"/>
      <c r="R333" s="42"/>
      <c r="S333" s="44"/>
      <c r="T333" s="42"/>
      <c r="U333" s="42"/>
      <c r="V333" s="42"/>
      <c r="W333" s="42"/>
      <c r="X333" s="42"/>
      <c r="Y333" s="42"/>
    </row>
    <row r="334" ht="15.75" customHeight="1" spans="1:25" x14ac:dyDescent="0.25">
      <c r="A334" s="42"/>
      <c r="B334" s="42"/>
      <c r="C334" s="42"/>
      <c r="D334" s="42"/>
      <c r="E334" s="58"/>
      <c r="F334" s="43"/>
      <c r="G334" s="42"/>
      <c r="H334" s="42"/>
      <c r="I334" s="58"/>
      <c r="J334" s="59"/>
      <c r="K334" s="59"/>
      <c r="L334" s="59"/>
      <c r="M334" s="59"/>
      <c r="N334" s="59"/>
      <c r="O334" s="59"/>
      <c r="P334" s="59"/>
      <c r="Q334" s="59"/>
      <c r="R334" s="42"/>
      <c r="S334" s="44"/>
      <c r="T334" s="42"/>
      <c r="U334" s="42"/>
      <c r="V334" s="42"/>
      <c r="W334" s="42"/>
      <c r="X334" s="42"/>
      <c r="Y334" s="42"/>
    </row>
    <row r="335" ht="15.75" customHeight="1" spans="1:25" x14ac:dyDescent="0.25">
      <c r="A335" s="42"/>
      <c r="B335" s="42"/>
      <c r="C335" s="42"/>
      <c r="D335" s="42"/>
      <c r="E335" s="58"/>
      <c r="F335" s="43"/>
      <c r="G335" s="42"/>
      <c r="H335" s="42"/>
      <c r="I335" s="58"/>
      <c r="J335" s="59"/>
      <c r="K335" s="59"/>
      <c r="L335" s="59"/>
      <c r="M335" s="59"/>
      <c r="N335" s="59"/>
      <c r="O335" s="59"/>
      <c r="P335" s="59"/>
      <c r="Q335" s="59"/>
      <c r="R335" s="42"/>
      <c r="S335" s="44"/>
      <c r="T335" s="42"/>
      <c r="U335" s="42"/>
      <c r="V335" s="42"/>
      <c r="W335" s="42"/>
      <c r="X335" s="42"/>
      <c r="Y335" s="42"/>
    </row>
    <row r="336" ht="15.75" customHeight="1" spans="1:25" x14ac:dyDescent="0.25">
      <c r="A336" s="42"/>
      <c r="B336" s="42"/>
      <c r="C336" s="42"/>
      <c r="D336" s="42"/>
      <c r="E336" s="58"/>
      <c r="F336" s="43"/>
      <c r="G336" s="42"/>
      <c r="H336" s="42"/>
      <c r="I336" s="58"/>
      <c r="J336" s="59"/>
      <c r="K336" s="59"/>
      <c r="L336" s="59"/>
      <c r="M336" s="59"/>
      <c r="N336" s="59"/>
      <c r="O336" s="59"/>
      <c r="P336" s="59"/>
      <c r="Q336" s="59"/>
      <c r="R336" s="42"/>
      <c r="S336" s="44"/>
      <c r="T336" s="42"/>
      <c r="U336" s="42"/>
      <c r="V336" s="42"/>
      <c r="W336" s="42"/>
      <c r="X336" s="42"/>
      <c r="Y336" s="42"/>
    </row>
    <row r="337" ht="15.75" customHeight="1" spans="1:25" x14ac:dyDescent="0.25">
      <c r="A337" s="42"/>
      <c r="B337" s="42"/>
      <c r="C337" s="42"/>
      <c r="D337" s="42"/>
      <c r="E337" s="58"/>
      <c r="F337" s="43"/>
      <c r="G337" s="42"/>
      <c r="H337" s="42"/>
      <c r="I337" s="58"/>
      <c r="J337" s="59"/>
      <c r="K337" s="59"/>
      <c r="L337" s="59"/>
      <c r="M337" s="59"/>
      <c r="N337" s="59"/>
      <c r="O337" s="59"/>
      <c r="P337" s="59"/>
      <c r="Q337" s="59"/>
      <c r="R337" s="42"/>
      <c r="S337" s="44"/>
      <c r="T337" s="42"/>
      <c r="U337" s="42"/>
      <c r="V337" s="42"/>
      <c r="W337" s="42"/>
      <c r="X337" s="42"/>
      <c r="Y337" s="42"/>
    </row>
    <row r="338" ht="15.75" customHeight="1" spans="1:25" x14ac:dyDescent="0.25">
      <c r="A338" s="42"/>
      <c r="B338" s="42"/>
      <c r="C338" s="42"/>
      <c r="D338" s="42"/>
      <c r="E338" s="58"/>
      <c r="F338" s="43"/>
      <c r="G338" s="42"/>
      <c r="H338" s="42"/>
      <c r="I338" s="58"/>
      <c r="J338" s="59"/>
      <c r="K338" s="59"/>
      <c r="L338" s="59"/>
      <c r="M338" s="59"/>
      <c r="N338" s="59"/>
      <c r="O338" s="59"/>
      <c r="P338" s="59"/>
      <c r="Q338" s="59"/>
      <c r="R338" s="42"/>
      <c r="S338" s="44"/>
      <c r="T338" s="42"/>
      <c r="U338" s="42"/>
      <c r="V338" s="42"/>
      <c r="W338" s="42"/>
      <c r="X338" s="42"/>
      <c r="Y338" s="42"/>
    </row>
    <row r="339" ht="15.75" customHeight="1" spans="1:25" x14ac:dyDescent="0.25">
      <c r="A339" s="42"/>
      <c r="B339" s="42"/>
      <c r="C339" s="42"/>
      <c r="D339" s="42"/>
      <c r="E339" s="58"/>
      <c r="F339" s="43"/>
      <c r="G339" s="42"/>
      <c r="H339" s="42"/>
      <c r="I339" s="58"/>
      <c r="J339" s="59"/>
      <c r="K339" s="59"/>
      <c r="L339" s="59"/>
      <c r="M339" s="59"/>
      <c r="N339" s="59"/>
      <c r="O339" s="59"/>
      <c r="P339" s="59"/>
      <c r="Q339" s="59"/>
      <c r="R339" s="42"/>
      <c r="S339" s="44"/>
      <c r="T339" s="42"/>
      <c r="U339" s="42"/>
      <c r="V339" s="42"/>
      <c r="W339" s="42"/>
      <c r="X339" s="42"/>
      <c r="Y339" s="42"/>
    </row>
    <row r="340" ht="15.75" customHeight="1" spans="1:25" x14ac:dyDescent="0.25">
      <c r="A340" s="42"/>
      <c r="B340" s="42"/>
      <c r="C340" s="42"/>
      <c r="D340" s="42"/>
      <c r="E340" s="58"/>
      <c r="F340" s="43"/>
      <c r="G340" s="42"/>
      <c r="H340" s="42"/>
      <c r="I340" s="58"/>
      <c r="J340" s="59"/>
      <c r="K340" s="59"/>
      <c r="L340" s="59"/>
      <c r="M340" s="59"/>
      <c r="N340" s="59"/>
      <c r="O340" s="59"/>
      <c r="P340" s="59"/>
      <c r="Q340" s="59"/>
      <c r="R340" s="42"/>
      <c r="S340" s="44"/>
      <c r="T340" s="42"/>
      <c r="U340" s="42"/>
      <c r="V340" s="42"/>
      <c r="W340" s="42"/>
      <c r="X340" s="42"/>
      <c r="Y340" s="42"/>
    </row>
    <row r="341" ht="15.75" customHeight="1" spans="1:25" x14ac:dyDescent="0.25">
      <c r="A341" s="42"/>
      <c r="B341" s="42"/>
      <c r="C341" s="42"/>
      <c r="D341" s="42"/>
      <c r="E341" s="58"/>
      <c r="F341" s="43"/>
      <c r="G341" s="42"/>
      <c r="H341" s="42"/>
      <c r="I341" s="58"/>
      <c r="J341" s="59"/>
      <c r="K341" s="59"/>
      <c r="L341" s="59"/>
      <c r="M341" s="59"/>
      <c r="N341" s="59"/>
      <c r="O341" s="59"/>
      <c r="P341" s="59"/>
      <c r="Q341" s="59"/>
      <c r="R341" s="42"/>
      <c r="S341" s="44"/>
      <c r="T341" s="42"/>
      <c r="U341" s="42"/>
      <c r="V341" s="42"/>
      <c r="W341" s="42"/>
      <c r="X341" s="42"/>
      <c r="Y341" s="42"/>
    </row>
    <row r="342" ht="15.75" customHeight="1" spans="1:25" x14ac:dyDescent="0.25">
      <c r="A342" s="42"/>
      <c r="B342" s="42"/>
      <c r="C342" s="42"/>
      <c r="D342" s="42"/>
      <c r="E342" s="58"/>
      <c r="F342" s="43"/>
      <c r="G342" s="42"/>
      <c r="H342" s="42"/>
      <c r="I342" s="58"/>
      <c r="J342" s="59"/>
      <c r="K342" s="59"/>
      <c r="L342" s="59"/>
      <c r="M342" s="59"/>
      <c r="N342" s="59"/>
      <c r="O342" s="59"/>
      <c r="P342" s="59"/>
      <c r="Q342" s="59"/>
      <c r="R342" s="42"/>
      <c r="S342" s="44"/>
      <c r="T342" s="42"/>
      <c r="U342" s="42"/>
      <c r="V342" s="42"/>
      <c r="W342" s="42"/>
      <c r="X342" s="42"/>
      <c r="Y342" s="42"/>
    </row>
    <row r="343" ht="15.75" customHeight="1" spans="1:25" x14ac:dyDescent="0.25">
      <c r="A343" s="42"/>
      <c r="B343" s="42"/>
      <c r="C343" s="42"/>
      <c r="D343" s="42"/>
      <c r="E343" s="58"/>
      <c r="F343" s="43"/>
      <c r="G343" s="42"/>
      <c r="H343" s="42"/>
      <c r="I343" s="58"/>
      <c r="J343" s="59"/>
      <c r="K343" s="59"/>
      <c r="L343" s="59"/>
      <c r="M343" s="59"/>
      <c r="N343" s="59"/>
      <c r="O343" s="59"/>
      <c r="P343" s="59"/>
      <c r="Q343" s="59"/>
      <c r="R343" s="42"/>
      <c r="S343" s="44"/>
      <c r="T343" s="42"/>
      <c r="U343" s="42"/>
      <c r="V343" s="42"/>
      <c r="W343" s="42"/>
      <c r="X343" s="42"/>
      <c r="Y343" s="42"/>
    </row>
    <row r="344" ht="15.75" customHeight="1" spans="1:25" x14ac:dyDescent="0.25">
      <c r="A344" s="42"/>
      <c r="B344" s="42"/>
      <c r="C344" s="42"/>
      <c r="D344" s="42"/>
      <c r="E344" s="58"/>
      <c r="F344" s="43"/>
      <c r="G344" s="42"/>
      <c r="H344" s="42"/>
      <c r="I344" s="58"/>
      <c r="J344" s="59"/>
      <c r="K344" s="59"/>
      <c r="L344" s="59"/>
      <c r="M344" s="59"/>
      <c r="N344" s="59"/>
      <c r="O344" s="59"/>
      <c r="P344" s="59"/>
      <c r="Q344" s="59"/>
      <c r="R344" s="42"/>
      <c r="S344" s="44"/>
      <c r="T344" s="42"/>
      <c r="U344" s="42"/>
      <c r="V344" s="42"/>
      <c r="W344" s="42"/>
      <c r="X344" s="42"/>
      <c r="Y344" s="42"/>
    </row>
    <row r="345" ht="15.75" customHeight="1" spans="1:25" x14ac:dyDescent="0.25">
      <c r="A345" s="42"/>
      <c r="B345" s="42"/>
      <c r="C345" s="42"/>
      <c r="D345" s="42"/>
      <c r="E345" s="58"/>
      <c r="F345" s="43"/>
      <c r="G345" s="42"/>
      <c r="H345" s="42"/>
      <c r="I345" s="58"/>
      <c r="J345" s="59"/>
      <c r="K345" s="59"/>
      <c r="L345" s="59"/>
      <c r="M345" s="59"/>
      <c r="N345" s="59"/>
      <c r="O345" s="59"/>
      <c r="P345" s="59"/>
      <c r="Q345" s="59"/>
      <c r="R345" s="42"/>
      <c r="S345" s="44"/>
      <c r="T345" s="42"/>
      <c r="U345" s="42"/>
      <c r="V345" s="42"/>
      <c r="W345" s="42"/>
      <c r="X345" s="42"/>
      <c r="Y345" s="42"/>
    </row>
    <row r="346" ht="15.75" customHeight="1" spans="1:25" x14ac:dyDescent="0.25">
      <c r="A346" s="42"/>
      <c r="B346" s="42"/>
      <c r="C346" s="42"/>
      <c r="D346" s="42"/>
      <c r="E346" s="58"/>
      <c r="F346" s="43"/>
      <c r="G346" s="42"/>
      <c r="H346" s="42"/>
      <c r="I346" s="58"/>
      <c r="J346" s="59"/>
      <c r="K346" s="59"/>
      <c r="L346" s="59"/>
      <c r="M346" s="59"/>
      <c r="N346" s="59"/>
      <c r="O346" s="59"/>
      <c r="P346" s="59"/>
      <c r="Q346" s="59"/>
      <c r="R346" s="42"/>
      <c r="S346" s="44"/>
      <c r="T346" s="42"/>
      <c r="U346" s="42"/>
      <c r="V346" s="42"/>
      <c r="W346" s="42"/>
      <c r="X346" s="42"/>
      <c r="Y346" s="42"/>
    </row>
    <row r="347" ht="15.75" customHeight="1" spans="1:25" x14ac:dyDescent="0.25">
      <c r="A347" s="42"/>
      <c r="B347" s="42"/>
      <c r="C347" s="42"/>
      <c r="D347" s="42"/>
      <c r="E347" s="58"/>
      <c r="F347" s="43"/>
      <c r="G347" s="42"/>
      <c r="H347" s="42"/>
      <c r="I347" s="58"/>
      <c r="J347" s="59"/>
      <c r="K347" s="59"/>
      <c r="L347" s="59"/>
      <c r="M347" s="59"/>
      <c r="N347" s="59"/>
      <c r="O347" s="59"/>
      <c r="P347" s="59"/>
      <c r="Q347" s="59"/>
      <c r="R347" s="42"/>
      <c r="S347" s="44"/>
      <c r="T347" s="42"/>
      <c r="U347" s="42"/>
      <c r="V347" s="42"/>
      <c r="W347" s="42"/>
      <c r="X347" s="42"/>
      <c r="Y347" s="42"/>
    </row>
    <row r="348" ht="15.75" customHeight="1" spans="1:25" x14ac:dyDescent="0.25">
      <c r="A348" s="42"/>
      <c r="B348" s="42"/>
      <c r="C348" s="42"/>
      <c r="D348" s="42"/>
      <c r="E348" s="58"/>
      <c r="F348" s="43"/>
      <c r="G348" s="42"/>
      <c r="H348" s="42"/>
      <c r="I348" s="58"/>
      <c r="J348" s="59"/>
      <c r="K348" s="59"/>
      <c r="L348" s="59"/>
      <c r="M348" s="59"/>
      <c r="N348" s="59"/>
      <c r="O348" s="59"/>
      <c r="P348" s="59"/>
      <c r="Q348" s="59"/>
      <c r="R348" s="42"/>
      <c r="S348" s="44"/>
      <c r="T348" s="42"/>
      <c r="U348" s="42"/>
      <c r="V348" s="42"/>
      <c r="W348" s="42"/>
      <c r="X348" s="42"/>
      <c r="Y348" s="42"/>
    </row>
    <row r="349" ht="15.75" customHeight="1" spans="1:25" x14ac:dyDescent="0.25">
      <c r="A349" s="42"/>
      <c r="B349" s="42"/>
      <c r="C349" s="42"/>
      <c r="D349" s="42"/>
      <c r="E349" s="58"/>
      <c r="F349" s="43"/>
      <c r="G349" s="42"/>
      <c r="H349" s="42"/>
      <c r="I349" s="58"/>
      <c r="J349" s="59"/>
      <c r="K349" s="59"/>
      <c r="L349" s="59"/>
      <c r="M349" s="59"/>
      <c r="N349" s="59"/>
      <c r="O349" s="59"/>
      <c r="P349" s="59"/>
      <c r="Q349" s="59"/>
      <c r="R349" s="42"/>
      <c r="S349" s="44"/>
      <c r="T349" s="42"/>
      <c r="U349" s="42"/>
      <c r="V349" s="42"/>
      <c r="W349" s="42"/>
      <c r="X349" s="42"/>
      <c r="Y349" s="42"/>
    </row>
    <row r="350" ht="15.75" customHeight="1" spans="1:25" x14ac:dyDescent="0.25">
      <c r="A350" s="42"/>
      <c r="B350" s="42"/>
      <c r="C350" s="42"/>
      <c r="D350" s="42"/>
      <c r="E350" s="58"/>
      <c r="F350" s="43"/>
      <c r="G350" s="42"/>
      <c r="H350" s="42"/>
      <c r="I350" s="58"/>
      <c r="J350" s="59"/>
      <c r="K350" s="59"/>
      <c r="L350" s="59"/>
      <c r="M350" s="59"/>
      <c r="N350" s="59"/>
      <c r="O350" s="59"/>
      <c r="P350" s="59"/>
      <c r="Q350" s="59"/>
      <c r="R350" s="42"/>
      <c r="S350" s="44"/>
      <c r="T350" s="42"/>
      <c r="U350" s="42"/>
      <c r="V350" s="42"/>
      <c r="W350" s="42"/>
      <c r="X350" s="42"/>
      <c r="Y350" s="42"/>
    </row>
    <row r="351" ht="15.75" customHeight="1" spans="1:25" x14ac:dyDescent="0.25">
      <c r="A351" s="42"/>
      <c r="B351" s="42"/>
      <c r="C351" s="42"/>
      <c r="D351" s="42"/>
      <c r="E351" s="58"/>
      <c r="F351" s="43"/>
      <c r="G351" s="42"/>
      <c r="H351" s="42"/>
      <c r="I351" s="58"/>
      <c r="J351" s="59"/>
      <c r="K351" s="59"/>
      <c r="L351" s="59"/>
      <c r="M351" s="59"/>
      <c r="N351" s="59"/>
      <c r="O351" s="59"/>
      <c r="P351" s="59"/>
      <c r="Q351" s="59"/>
      <c r="R351" s="42"/>
      <c r="S351" s="44"/>
      <c r="T351" s="42"/>
      <c r="U351" s="42"/>
      <c r="V351" s="42"/>
      <c r="W351" s="42"/>
      <c r="X351" s="42"/>
      <c r="Y351" s="42"/>
    </row>
    <row r="352" ht="15.75" customHeight="1" spans="1:25" x14ac:dyDescent="0.25">
      <c r="A352" s="42"/>
      <c r="B352" s="42"/>
      <c r="C352" s="42"/>
      <c r="D352" s="42"/>
      <c r="E352" s="58"/>
      <c r="F352" s="43"/>
      <c r="G352" s="42"/>
      <c r="H352" s="42"/>
      <c r="I352" s="58"/>
      <c r="J352" s="59"/>
      <c r="K352" s="59"/>
      <c r="L352" s="59"/>
      <c r="M352" s="59"/>
      <c r="N352" s="59"/>
      <c r="O352" s="59"/>
      <c r="P352" s="59"/>
      <c r="Q352" s="59"/>
      <c r="R352" s="42"/>
      <c r="S352" s="44"/>
      <c r="T352" s="42"/>
      <c r="U352" s="42"/>
      <c r="V352" s="42"/>
      <c r="W352" s="42"/>
      <c r="X352" s="42"/>
      <c r="Y352" s="42"/>
    </row>
    <row r="353" ht="15.75" customHeight="1" spans="1:25" x14ac:dyDescent="0.25">
      <c r="A353" s="42"/>
      <c r="B353" s="42"/>
      <c r="C353" s="42"/>
      <c r="D353" s="42"/>
      <c r="E353" s="58"/>
      <c r="F353" s="43"/>
      <c r="G353" s="42"/>
      <c r="H353" s="42"/>
      <c r="I353" s="58"/>
      <c r="J353" s="59"/>
      <c r="K353" s="59"/>
      <c r="L353" s="59"/>
      <c r="M353" s="59"/>
      <c r="N353" s="59"/>
      <c r="O353" s="59"/>
      <c r="P353" s="59"/>
      <c r="Q353" s="59"/>
      <c r="R353" s="42"/>
      <c r="S353" s="44"/>
      <c r="T353" s="42"/>
      <c r="U353" s="42"/>
      <c r="V353" s="42"/>
      <c r="W353" s="42"/>
      <c r="X353" s="42"/>
      <c r="Y353" s="42"/>
    </row>
    <row r="354" ht="15.75" customHeight="1" spans="1:25" x14ac:dyDescent="0.25">
      <c r="A354" s="42"/>
      <c r="B354" s="42"/>
      <c r="C354" s="42"/>
      <c r="D354" s="42"/>
      <c r="E354" s="58"/>
      <c r="F354" s="43"/>
      <c r="G354" s="42"/>
      <c r="H354" s="42"/>
      <c r="I354" s="58"/>
      <c r="J354" s="59"/>
      <c r="K354" s="59"/>
      <c r="L354" s="59"/>
      <c r="M354" s="59"/>
      <c r="N354" s="59"/>
      <c r="O354" s="59"/>
      <c r="P354" s="59"/>
      <c r="Q354" s="59"/>
      <c r="R354" s="42"/>
      <c r="S354" s="44"/>
      <c r="T354" s="42"/>
      <c r="U354" s="42"/>
      <c r="V354" s="42"/>
      <c r="W354" s="42"/>
      <c r="X354" s="42"/>
      <c r="Y354" s="42"/>
    </row>
    <row r="355" ht="15.75" customHeight="1" spans="1:25" x14ac:dyDescent="0.25">
      <c r="A355" s="42"/>
      <c r="B355" s="42"/>
      <c r="C355" s="42"/>
      <c r="D355" s="42"/>
      <c r="E355" s="58"/>
      <c r="F355" s="43"/>
      <c r="G355" s="42"/>
      <c r="H355" s="42"/>
      <c r="I355" s="58"/>
      <c r="J355" s="59"/>
      <c r="K355" s="59"/>
      <c r="L355" s="59"/>
      <c r="M355" s="59"/>
      <c r="N355" s="59"/>
      <c r="O355" s="59"/>
      <c r="P355" s="59"/>
      <c r="Q355" s="59"/>
      <c r="R355" s="42"/>
      <c r="S355" s="44"/>
      <c r="T355" s="42"/>
      <c r="U355" s="42"/>
      <c r="V355" s="42"/>
      <c r="W355" s="42"/>
      <c r="X355" s="42"/>
      <c r="Y355" s="42"/>
    </row>
    <row r="356" ht="15.75" customHeight="1" spans="1:25" x14ac:dyDescent="0.25">
      <c r="A356" s="42"/>
      <c r="B356" s="42"/>
      <c r="C356" s="42"/>
      <c r="D356" s="42"/>
      <c r="E356" s="58"/>
      <c r="F356" s="43"/>
      <c r="G356" s="42"/>
      <c r="H356" s="42"/>
      <c r="I356" s="58"/>
      <c r="J356" s="59"/>
      <c r="K356" s="59"/>
      <c r="L356" s="59"/>
      <c r="M356" s="59"/>
      <c r="N356" s="59"/>
      <c r="O356" s="59"/>
      <c r="P356" s="59"/>
      <c r="Q356" s="59"/>
      <c r="R356" s="42"/>
      <c r="S356" s="44"/>
      <c r="T356" s="42"/>
      <c r="U356" s="42"/>
      <c r="V356" s="42"/>
      <c r="W356" s="42"/>
      <c r="X356" s="42"/>
      <c r="Y356" s="42"/>
    </row>
    <row r="357" ht="15.75" customHeight="1" spans="1:25" x14ac:dyDescent="0.25">
      <c r="A357" s="42"/>
      <c r="B357" s="42"/>
      <c r="C357" s="42"/>
      <c r="D357" s="42"/>
      <c r="E357" s="58"/>
      <c r="F357" s="43"/>
      <c r="G357" s="42"/>
      <c r="H357" s="42"/>
      <c r="I357" s="58"/>
      <c r="J357" s="59"/>
      <c r="K357" s="59"/>
      <c r="L357" s="59"/>
      <c r="M357" s="59"/>
      <c r="N357" s="59"/>
      <c r="O357" s="59"/>
      <c r="P357" s="59"/>
      <c r="Q357" s="59"/>
      <c r="R357" s="42"/>
      <c r="S357" s="44"/>
      <c r="T357" s="42"/>
      <c r="U357" s="42"/>
      <c r="V357" s="42"/>
      <c r="W357" s="42"/>
      <c r="X357" s="42"/>
      <c r="Y357" s="42"/>
    </row>
    <row r="358" ht="15.75" customHeight="1" spans="1:25" x14ac:dyDescent="0.25">
      <c r="A358" s="42"/>
      <c r="B358" s="42"/>
      <c r="C358" s="42"/>
      <c r="D358" s="42"/>
      <c r="E358" s="58"/>
      <c r="F358" s="43"/>
      <c r="G358" s="42"/>
      <c r="H358" s="42"/>
      <c r="I358" s="58"/>
      <c r="J358" s="59"/>
      <c r="K358" s="59"/>
      <c r="L358" s="59"/>
      <c r="M358" s="59"/>
      <c r="N358" s="59"/>
      <c r="O358" s="59"/>
      <c r="P358" s="59"/>
      <c r="Q358" s="59"/>
      <c r="R358" s="42"/>
      <c r="S358" s="44"/>
      <c r="T358" s="42"/>
      <c r="U358" s="42"/>
      <c r="V358" s="42"/>
      <c r="W358" s="42"/>
      <c r="X358" s="42"/>
      <c r="Y358" s="42"/>
    </row>
    <row r="359" ht="15.75" customHeight="1" spans="1:25" x14ac:dyDescent="0.25">
      <c r="A359" s="42"/>
      <c r="B359" s="42"/>
      <c r="C359" s="42"/>
      <c r="D359" s="42"/>
      <c r="E359" s="58"/>
      <c r="F359" s="43"/>
      <c r="G359" s="42"/>
      <c r="H359" s="42"/>
      <c r="I359" s="58"/>
      <c r="J359" s="59"/>
      <c r="K359" s="59"/>
      <c r="L359" s="59"/>
      <c r="M359" s="59"/>
      <c r="N359" s="59"/>
      <c r="O359" s="59"/>
      <c r="P359" s="59"/>
      <c r="Q359" s="59"/>
      <c r="R359" s="42"/>
      <c r="S359" s="44"/>
      <c r="T359" s="42"/>
      <c r="U359" s="42"/>
      <c r="V359" s="42"/>
      <c r="W359" s="42"/>
      <c r="X359" s="42"/>
      <c r="Y359" s="42"/>
    </row>
    <row r="360" ht="15.75" customHeight="1" spans="1:25" x14ac:dyDescent="0.25">
      <c r="A360" s="42"/>
      <c r="B360" s="42"/>
      <c r="C360" s="42"/>
      <c r="D360" s="42"/>
      <c r="E360" s="58"/>
      <c r="F360" s="43"/>
      <c r="G360" s="42"/>
      <c r="H360" s="42"/>
      <c r="I360" s="58"/>
      <c r="J360" s="59"/>
      <c r="K360" s="59"/>
      <c r="L360" s="59"/>
      <c r="M360" s="59"/>
      <c r="N360" s="59"/>
      <c r="O360" s="59"/>
      <c r="P360" s="59"/>
      <c r="Q360" s="59"/>
      <c r="R360" s="42"/>
      <c r="S360" s="44"/>
      <c r="T360" s="42"/>
      <c r="U360" s="42"/>
      <c r="V360" s="42"/>
      <c r="W360" s="42"/>
      <c r="X360" s="42"/>
      <c r="Y360" s="42"/>
    </row>
    <row r="361" ht="15.75" customHeight="1" spans="1:25" x14ac:dyDescent="0.25">
      <c r="A361" s="42"/>
      <c r="B361" s="42"/>
      <c r="C361" s="42"/>
      <c r="D361" s="42"/>
      <c r="E361" s="58"/>
      <c r="F361" s="43"/>
      <c r="G361" s="42"/>
      <c r="H361" s="42"/>
      <c r="I361" s="58"/>
      <c r="J361" s="59"/>
      <c r="K361" s="59"/>
      <c r="L361" s="59"/>
      <c r="M361" s="59"/>
      <c r="N361" s="59"/>
      <c r="O361" s="59"/>
      <c r="P361" s="59"/>
      <c r="Q361" s="59"/>
      <c r="R361" s="42"/>
      <c r="S361" s="44"/>
      <c r="T361" s="42"/>
      <c r="U361" s="42"/>
      <c r="V361" s="42"/>
      <c r="W361" s="42"/>
      <c r="X361" s="42"/>
      <c r="Y361" s="42"/>
    </row>
    <row r="362" ht="15.75" customHeight="1" spans="1:25" x14ac:dyDescent="0.25">
      <c r="A362" s="42"/>
      <c r="B362" s="42"/>
      <c r="C362" s="42"/>
      <c r="D362" s="42"/>
      <c r="E362" s="58"/>
      <c r="F362" s="43"/>
      <c r="G362" s="42"/>
      <c r="H362" s="42"/>
      <c r="I362" s="58"/>
      <c r="J362" s="59"/>
      <c r="K362" s="59"/>
      <c r="L362" s="59"/>
      <c r="M362" s="59"/>
      <c r="N362" s="59"/>
      <c r="O362" s="59"/>
      <c r="P362" s="59"/>
      <c r="Q362" s="59"/>
      <c r="R362" s="42"/>
      <c r="S362" s="44"/>
      <c r="T362" s="42"/>
      <c r="U362" s="42"/>
      <c r="V362" s="42"/>
      <c r="W362" s="42"/>
      <c r="X362" s="42"/>
      <c r="Y362" s="42"/>
    </row>
    <row r="363" ht="15.75" customHeight="1" spans="1:25" x14ac:dyDescent="0.25">
      <c r="A363" s="42"/>
      <c r="B363" s="42"/>
      <c r="C363" s="42"/>
      <c r="D363" s="42"/>
      <c r="E363" s="58"/>
      <c r="F363" s="43"/>
      <c r="G363" s="42"/>
      <c r="H363" s="42"/>
      <c r="I363" s="58"/>
      <c r="J363" s="59"/>
      <c r="K363" s="59"/>
      <c r="L363" s="59"/>
      <c r="M363" s="59"/>
      <c r="N363" s="59"/>
      <c r="O363" s="59"/>
      <c r="P363" s="59"/>
      <c r="Q363" s="59"/>
      <c r="R363" s="42"/>
      <c r="S363" s="44"/>
      <c r="T363" s="42"/>
      <c r="U363" s="42"/>
      <c r="V363" s="42"/>
      <c r="W363" s="42"/>
      <c r="X363" s="42"/>
      <c r="Y363" s="42"/>
    </row>
    <row r="364" ht="15.75" customHeight="1" spans="1:25" x14ac:dyDescent="0.25">
      <c r="A364" s="42"/>
      <c r="B364" s="42"/>
      <c r="C364" s="42"/>
      <c r="D364" s="42"/>
      <c r="E364" s="58"/>
      <c r="F364" s="43"/>
      <c r="G364" s="42"/>
      <c r="H364" s="42"/>
      <c r="I364" s="58"/>
      <c r="J364" s="59"/>
      <c r="K364" s="59"/>
      <c r="L364" s="59"/>
      <c r="M364" s="59"/>
      <c r="N364" s="59"/>
      <c r="O364" s="59"/>
      <c r="P364" s="59"/>
      <c r="Q364" s="59"/>
      <c r="R364" s="42"/>
      <c r="S364" s="44"/>
      <c r="T364" s="42"/>
      <c r="U364" s="42"/>
      <c r="V364" s="42"/>
      <c r="W364" s="42"/>
      <c r="X364" s="42"/>
      <c r="Y364" s="42"/>
    </row>
    <row r="365" ht="15.75" customHeight="1" spans="1:25" x14ac:dyDescent="0.25">
      <c r="A365" s="42"/>
      <c r="B365" s="42"/>
      <c r="C365" s="42"/>
      <c r="D365" s="42"/>
      <c r="E365" s="58"/>
      <c r="F365" s="43"/>
      <c r="G365" s="42"/>
      <c r="H365" s="42"/>
      <c r="I365" s="58"/>
      <c r="J365" s="59"/>
      <c r="K365" s="59"/>
      <c r="L365" s="59"/>
      <c r="M365" s="59"/>
      <c r="N365" s="59"/>
      <c r="O365" s="59"/>
      <c r="P365" s="59"/>
      <c r="Q365" s="59"/>
      <c r="R365" s="42"/>
      <c r="S365" s="44"/>
      <c r="T365" s="42"/>
      <c r="U365" s="42"/>
      <c r="V365" s="42"/>
      <c r="W365" s="42"/>
      <c r="X365" s="42"/>
      <c r="Y365" s="42"/>
    </row>
    <row r="366" ht="15.75" customHeight="1" spans="1:25" x14ac:dyDescent="0.25">
      <c r="A366" s="42"/>
      <c r="B366" s="42"/>
      <c r="C366" s="42"/>
      <c r="D366" s="42"/>
      <c r="E366" s="58"/>
      <c r="F366" s="43"/>
      <c r="G366" s="42"/>
      <c r="H366" s="42"/>
      <c r="I366" s="58"/>
      <c r="J366" s="59"/>
      <c r="K366" s="59"/>
      <c r="L366" s="59"/>
      <c r="M366" s="59"/>
      <c r="N366" s="59"/>
      <c r="O366" s="59"/>
      <c r="P366" s="59"/>
      <c r="Q366" s="59"/>
      <c r="R366" s="42"/>
      <c r="S366" s="44"/>
      <c r="T366" s="42"/>
      <c r="U366" s="42"/>
      <c r="V366" s="42"/>
      <c r="W366" s="42"/>
      <c r="X366" s="42"/>
      <c r="Y366" s="42"/>
    </row>
    <row r="367" ht="15.75" customHeight="1" spans="1:25" x14ac:dyDescent="0.25">
      <c r="A367" s="42"/>
      <c r="B367" s="42"/>
      <c r="C367" s="42"/>
      <c r="D367" s="42"/>
      <c r="E367" s="58"/>
      <c r="F367" s="43"/>
      <c r="G367" s="42"/>
      <c r="H367" s="42"/>
      <c r="I367" s="58"/>
      <c r="J367" s="59"/>
      <c r="K367" s="59"/>
      <c r="L367" s="59"/>
      <c r="M367" s="59"/>
      <c r="N367" s="59"/>
      <c r="O367" s="59"/>
      <c r="P367" s="59"/>
      <c r="Q367" s="59"/>
      <c r="R367" s="42"/>
      <c r="S367" s="44"/>
      <c r="T367" s="42"/>
      <c r="U367" s="42"/>
      <c r="V367" s="42"/>
      <c r="W367" s="42"/>
      <c r="X367" s="42"/>
      <c r="Y367" s="42"/>
    </row>
    <row r="368" ht="15.75" customHeight="1" spans="1:25" x14ac:dyDescent="0.25">
      <c r="A368" s="42"/>
      <c r="B368" s="42"/>
      <c r="C368" s="42"/>
      <c r="D368" s="42"/>
      <c r="E368" s="58"/>
      <c r="F368" s="43"/>
      <c r="G368" s="42"/>
      <c r="H368" s="42"/>
      <c r="I368" s="58"/>
      <c r="J368" s="59"/>
      <c r="K368" s="59"/>
      <c r="L368" s="59"/>
      <c r="M368" s="59"/>
      <c r="N368" s="59"/>
      <c r="O368" s="59"/>
      <c r="P368" s="59"/>
      <c r="Q368" s="59"/>
      <c r="R368" s="42"/>
      <c r="S368" s="44"/>
      <c r="T368" s="42"/>
      <c r="U368" s="42"/>
      <c r="V368" s="42"/>
      <c r="W368" s="42"/>
      <c r="X368" s="42"/>
      <c r="Y368" s="42"/>
    </row>
    <row r="369" ht="15.75" customHeight="1" spans="1:25" x14ac:dyDescent="0.25">
      <c r="A369" s="42"/>
      <c r="B369" s="42"/>
      <c r="C369" s="42"/>
      <c r="D369" s="42"/>
      <c r="E369" s="58"/>
      <c r="F369" s="43"/>
      <c r="G369" s="42"/>
      <c r="H369" s="42"/>
      <c r="I369" s="58"/>
      <c r="J369" s="59"/>
      <c r="K369" s="59"/>
      <c r="L369" s="59"/>
      <c r="M369" s="59"/>
      <c r="N369" s="59"/>
      <c r="O369" s="59"/>
      <c r="P369" s="59"/>
      <c r="Q369" s="59"/>
      <c r="R369" s="42"/>
      <c r="S369" s="44"/>
      <c r="T369" s="42"/>
      <c r="U369" s="42"/>
      <c r="V369" s="42"/>
      <c r="W369" s="42"/>
      <c r="X369" s="42"/>
      <c r="Y369" s="42"/>
    </row>
    <row r="370" ht="15.75" customHeight="1" spans="1:25" x14ac:dyDescent="0.25">
      <c r="A370" s="42"/>
      <c r="B370" s="42"/>
      <c r="C370" s="42"/>
      <c r="D370" s="42"/>
      <c r="E370" s="58"/>
      <c r="F370" s="43"/>
      <c r="G370" s="42"/>
      <c r="H370" s="42"/>
      <c r="I370" s="58"/>
      <c r="J370" s="59"/>
      <c r="K370" s="59"/>
      <c r="L370" s="59"/>
      <c r="M370" s="59"/>
      <c r="N370" s="59"/>
      <c r="O370" s="59"/>
      <c r="P370" s="59"/>
      <c r="Q370" s="59"/>
      <c r="R370" s="42"/>
      <c r="S370" s="44"/>
      <c r="T370" s="42"/>
      <c r="U370" s="42"/>
      <c r="V370" s="42"/>
      <c r="W370" s="42"/>
      <c r="X370" s="42"/>
      <c r="Y370" s="42"/>
    </row>
    <row r="371" ht="15.75" customHeight="1" spans="1:25" x14ac:dyDescent="0.25">
      <c r="A371" s="42"/>
      <c r="B371" s="42"/>
      <c r="C371" s="42"/>
      <c r="D371" s="42"/>
      <c r="E371" s="58"/>
      <c r="F371" s="43"/>
      <c r="G371" s="42"/>
      <c r="H371" s="42"/>
      <c r="I371" s="58"/>
      <c r="J371" s="59"/>
      <c r="K371" s="59"/>
      <c r="L371" s="59"/>
      <c r="M371" s="59"/>
      <c r="N371" s="59"/>
      <c r="O371" s="59"/>
      <c r="P371" s="59"/>
      <c r="Q371" s="59"/>
      <c r="R371" s="42"/>
      <c r="S371" s="44"/>
      <c r="T371" s="42"/>
      <c r="U371" s="42"/>
      <c r="V371" s="42"/>
      <c r="W371" s="42"/>
      <c r="X371" s="42"/>
      <c r="Y371" s="42"/>
    </row>
    <row r="372" ht="15.75" customHeight="1" spans="1:25" x14ac:dyDescent="0.25">
      <c r="A372" s="42"/>
      <c r="B372" s="42"/>
      <c r="C372" s="42"/>
      <c r="D372" s="42"/>
      <c r="E372" s="58"/>
      <c r="F372" s="43"/>
      <c r="G372" s="42"/>
      <c r="H372" s="42"/>
      <c r="I372" s="58"/>
      <c r="J372" s="59"/>
      <c r="K372" s="59"/>
      <c r="L372" s="59"/>
      <c r="M372" s="59"/>
      <c r="N372" s="59"/>
      <c r="O372" s="59"/>
      <c r="P372" s="59"/>
      <c r="Q372" s="59"/>
      <c r="R372" s="42"/>
      <c r="S372" s="44"/>
      <c r="T372" s="42"/>
      <c r="U372" s="42"/>
      <c r="V372" s="42"/>
      <c r="W372" s="42"/>
      <c r="X372" s="42"/>
      <c r="Y372" s="42"/>
    </row>
    <row r="373" ht="15.75" customHeight="1" spans="1:25" x14ac:dyDescent="0.25">
      <c r="A373" s="42"/>
      <c r="B373" s="42"/>
      <c r="C373" s="42"/>
      <c r="D373" s="42"/>
      <c r="E373" s="58"/>
      <c r="F373" s="43"/>
      <c r="G373" s="42"/>
      <c r="H373" s="42"/>
      <c r="I373" s="58"/>
      <c r="J373" s="59"/>
      <c r="K373" s="59"/>
      <c r="L373" s="59"/>
      <c r="M373" s="59"/>
      <c r="N373" s="59"/>
      <c r="O373" s="59"/>
      <c r="P373" s="59"/>
      <c r="Q373" s="59"/>
      <c r="R373" s="42"/>
      <c r="S373" s="44"/>
      <c r="T373" s="42"/>
      <c r="U373" s="42"/>
      <c r="V373" s="42"/>
      <c r="W373" s="42"/>
      <c r="X373" s="42"/>
      <c r="Y373" s="42"/>
    </row>
    <row r="374" ht="15.75" customHeight="1" spans="1:25" x14ac:dyDescent="0.25">
      <c r="A374" s="42"/>
      <c r="B374" s="42"/>
      <c r="C374" s="42"/>
      <c r="D374" s="42"/>
      <c r="E374" s="58"/>
      <c r="F374" s="43"/>
      <c r="G374" s="42"/>
      <c r="H374" s="42"/>
      <c r="I374" s="58"/>
      <c r="J374" s="59"/>
      <c r="K374" s="59"/>
      <c r="L374" s="59"/>
      <c r="M374" s="59"/>
      <c r="N374" s="59"/>
      <c r="O374" s="59"/>
      <c r="P374" s="59"/>
      <c r="Q374" s="59"/>
      <c r="R374" s="42"/>
      <c r="S374" s="44"/>
      <c r="T374" s="42"/>
      <c r="U374" s="42"/>
      <c r="V374" s="42"/>
      <c r="W374" s="42"/>
      <c r="X374" s="42"/>
      <c r="Y374" s="42"/>
    </row>
    <row r="375" ht="15.75" customHeight="1" spans="1:25" x14ac:dyDescent="0.25">
      <c r="A375" s="42"/>
      <c r="B375" s="42"/>
      <c r="C375" s="42"/>
      <c r="D375" s="42"/>
      <c r="E375" s="58"/>
      <c r="F375" s="43"/>
      <c r="G375" s="42"/>
      <c r="H375" s="42"/>
      <c r="I375" s="58"/>
      <c r="J375" s="59"/>
      <c r="K375" s="59"/>
      <c r="L375" s="59"/>
      <c r="M375" s="59"/>
      <c r="N375" s="59"/>
      <c r="O375" s="59"/>
      <c r="P375" s="59"/>
      <c r="Q375" s="59"/>
      <c r="R375" s="42"/>
      <c r="S375" s="44"/>
      <c r="T375" s="42"/>
      <c r="U375" s="42"/>
      <c r="V375" s="42"/>
      <c r="W375" s="42"/>
      <c r="X375" s="42"/>
      <c r="Y375" s="42"/>
    </row>
    <row r="376" ht="15.75" customHeight="1" spans="1:25" x14ac:dyDescent="0.25">
      <c r="A376" s="42"/>
      <c r="B376" s="42"/>
      <c r="C376" s="42"/>
      <c r="D376" s="42"/>
      <c r="E376" s="58"/>
      <c r="F376" s="43"/>
      <c r="G376" s="42"/>
      <c r="H376" s="42"/>
      <c r="I376" s="58"/>
      <c r="J376" s="59"/>
      <c r="K376" s="59"/>
      <c r="L376" s="59"/>
      <c r="M376" s="59"/>
      <c r="N376" s="59"/>
      <c r="O376" s="59"/>
      <c r="P376" s="59"/>
      <c r="Q376" s="59"/>
      <c r="R376" s="42"/>
      <c r="S376" s="44"/>
      <c r="T376" s="42"/>
      <c r="U376" s="42"/>
      <c r="V376" s="42"/>
      <c r="W376" s="42"/>
      <c r="X376" s="42"/>
      <c r="Y376" s="42"/>
    </row>
    <row r="377" ht="15.75" customHeight="1" spans="1:25" x14ac:dyDescent="0.25">
      <c r="A377" s="42"/>
      <c r="B377" s="42"/>
      <c r="C377" s="42"/>
      <c r="D377" s="42"/>
      <c r="E377" s="58"/>
      <c r="F377" s="43"/>
      <c r="G377" s="42"/>
      <c r="H377" s="42"/>
      <c r="I377" s="58"/>
      <c r="J377" s="59"/>
      <c r="K377" s="59"/>
      <c r="L377" s="59"/>
      <c r="M377" s="59"/>
      <c r="N377" s="59"/>
      <c r="O377" s="59"/>
      <c r="P377" s="59"/>
      <c r="Q377" s="59"/>
      <c r="R377" s="42"/>
      <c r="S377" s="44"/>
      <c r="T377" s="42"/>
      <c r="U377" s="42"/>
      <c r="V377" s="42"/>
      <c r="W377" s="42"/>
      <c r="X377" s="42"/>
      <c r="Y377" s="42"/>
    </row>
    <row r="378" ht="15.75" customHeight="1" spans="1:25" x14ac:dyDescent="0.25">
      <c r="A378" s="42"/>
      <c r="B378" s="42"/>
      <c r="C378" s="42"/>
      <c r="D378" s="42"/>
      <c r="E378" s="58"/>
      <c r="F378" s="43"/>
      <c r="G378" s="42"/>
      <c r="H378" s="42"/>
      <c r="I378" s="58"/>
      <c r="J378" s="59"/>
      <c r="K378" s="59"/>
      <c r="L378" s="59"/>
      <c r="M378" s="59"/>
      <c r="N378" s="59"/>
      <c r="O378" s="59"/>
      <c r="P378" s="59"/>
      <c r="Q378" s="59"/>
      <c r="R378" s="42"/>
      <c r="S378" s="44"/>
      <c r="T378" s="42"/>
      <c r="U378" s="42"/>
      <c r="V378" s="42"/>
      <c r="W378" s="42"/>
      <c r="X378" s="42"/>
      <c r="Y378" s="42"/>
    </row>
    <row r="379" ht="15.75" customHeight="1" spans="1:25" x14ac:dyDescent="0.25">
      <c r="A379" s="42"/>
      <c r="B379" s="42"/>
      <c r="C379" s="42"/>
      <c r="D379" s="42"/>
      <c r="E379" s="58"/>
      <c r="F379" s="43"/>
      <c r="G379" s="42"/>
      <c r="H379" s="42"/>
      <c r="I379" s="58"/>
      <c r="J379" s="59"/>
      <c r="K379" s="59"/>
      <c r="L379" s="59"/>
      <c r="M379" s="59"/>
      <c r="N379" s="59"/>
      <c r="O379" s="59"/>
      <c r="P379" s="59"/>
      <c r="Q379" s="59"/>
      <c r="R379" s="42"/>
      <c r="S379" s="44"/>
      <c r="T379" s="42"/>
      <c r="U379" s="42"/>
      <c r="V379" s="42"/>
      <c r="W379" s="42"/>
      <c r="X379" s="42"/>
      <c r="Y379" s="42"/>
    </row>
    <row r="380" ht="15.75" customHeight="1" spans="1:25" x14ac:dyDescent="0.25">
      <c r="A380" s="42"/>
      <c r="B380" s="42"/>
      <c r="C380" s="42"/>
      <c r="D380" s="42"/>
      <c r="E380" s="58"/>
      <c r="F380" s="43"/>
      <c r="G380" s="42"/>
      <c r="H380" s="42"/>
      <c r="I380" s="58"/>
      <c r="J380" s="59"/>
      <c r="K380" s="59"/>
      <c r="L380" s="59"/>
      <c r="M380" s="59"/>
      <c r="N380" s="59"/>
      <c r="O380" s="59"/>
      <c r="P380" s="59"/>
      <c r="Q380" s="59"/>
      <c r="R380" s="42"/>
      <c r="S380" s="44"/>
      <c r="T380" s="42"/>
      <c r="U380" s="42"/>
      <c r="V380" s="42"/>
      <c r="W380" s="42"/>
      <c r="X380" s="42"/>
      <c r="Y380" s="42"/>
    </row>
    <row r="381" ht="15.75" customHeight="1" spans="1:25" x14ac:dyDescent="0.25">
      <c r="A381" s="42"/>
      <c r="B381" s="42"/>
      <c r="C381" s="42"/>
      <c r="D381" s="42"/>
      <c r="E381" s="58"/>
      <c r="F381" s="43"/>
      <c r="G381" s="42"/>
      <c r="H381" s="42"/>
      <c r="I381" s="58"/>
      <c r="J381" s="59"/>
      <c r="K381" s="59"/>
      <c r="L381" s="59"/>
      <c r="M381" s="59"/>
      <c r="N381" s="59"/>
      <c r="O381" s="59"/>
      <c r="P381" s="59"/>
      <c r="Q381" s="59"/>
      <c r="R381" s="42"/>
      <c r="S381" s="44"/>
      <c r="T381" s="42"/>
      <c r="U381" s="42"/>
      <c r="V381" s="42"/>
      <c r="W381" s="42"/>
      <c r="X381" s="42"/>
      <c r="Y381" s="42"/>
    </row>
    <row r="382" ht="15.75" customHeight="1" spans="1:25" x14ac:dyDescent="0.25">
      <c r="A382" s="42"/>
      <c r="B382" s="42"/>
      <c r="C382" s="42"/>
      <c r="D382" s="42"/>
      <c r="E382" s="58"/>
      <c r="F382" s="43"/>
      <c r="G382" s="42"/>
      <c r="H382" s="42"/>
      <c r="I382" s="58"/>
      <c r="J382" s="59"/>
      <c r="K382" s="59"/>
      <c r="L382" s="59"/>
      <c r="M382" s="59"/>
      <c r="N382" s="59"/>
      <c r="O382" s="59"/>
      <c r="P382" s="59"/>
      <c r="Q382" s="59"/>
      <c r="R382" s="42"/>
      <c r="S382" s="44"/>
      <c r="T382" s="42"/>
      <c r="U382" s="42"/>
      <c r="V382" s="42"/>
      <c r="W382" s="42"/>
      <c r="X382" s="42"/>
      <c r="Y382" s="42"/>
    </row>
    <row r="383" ht="15.75" customHeight="1" spans="1:25" x14ac:dyDescent="0.25">
      <c r="A383" s="42"/>
      <c r="B383" s="42"/>
      <c r="C383" s="42"/>
      <c r="D383" s="42"/>
      <c r="E383" s="58"/>
      <c r="F383" s="43"/>
      <c r="G383" s="42"/>
      <c r="H383" s="42"/>
      <c r="I383" s="58"/>
      <c r="J383" s="59"/>
      <c r="K383" s="59"/>
      <c r="L383" s="59"/>
      <c r="M383" s="59"/>
      <c r="N383" s="59"/>
      <c r="O383" s="59"/>
      <c r="P383" s="59"/>
      <c r="Q383" s="59"/>
      <c r="R383" s="42"/>
      <c r="S383" s="44"/>
      <c r="T383" s="42"/>
      <c r="U383" s="42"/>
      <c r="V383" s="42"/>
      <c r="W383" s="42"/>
      <c r="X383" s="42"/>
      <c r="Y383" s="42"/>
    </row>
    <row r="384" ht="15.75" customHeight="1" spans="1:25" x14ac:dyDescent="0.25">
      <c r="A384" s="42"/>
      <c r="B384" s="42"/>
      <c r="C384" s="42"/>
      <c r="D384" s="42"/>
      <c r="E384" s="58"/>
      <c r="F384" s="43"/>
      <c r="G384" s="42"/>
      <c r="H384" s="42"/>
      <c r="I384" s="58"/>
      <c r="J384" s="59"/>
      <c r="K384" s="59"/>
      <c r="L384" s="59"/>
      <c r="M384" s="59"/>
      <c r="N384" s="59"/>
      <c r="O384" s="59"/>
      <c r="P384" s="59"/>
      <c r="Q384" s="59"/>
      <c r="R384" s="42"/>
      <c r="S384" s="44"/>
      <c r="T384" s="42"/>
      <c r="U384" s="42"/>
      <c r="V384" s="42"/>
      <c r="W384" s="42"/>
      <c r="X384" s="42"/>
      <c r="Y384" s="42"/>
    </row>
    <row r="385" ht="15.75" customHeight="1" spans="1:25" x14ac:dyDescent="0.25">
      <c r="A385" s="42"/>
      <c r="B385" s="42"/>
      <c r="C385" s="42"/>
      <c r="D385" s="42"/>
      <c r="E385" s="58"/>
      <c r="F385" s="43"/>
      <c r="G385" s="42"/>
      <c r="H385" s="42"/>
      <c r="I385" s="58"/>
      <c r="J385" s="59"/>
      <c r="K385" s="59"/>
      <c r="L385" s="59"/>
      <c r="M385" s="59"/>
      <c r="N385" s="59"/>
      <c r="O385" s="59"/>
      <c r="P385" s="59"/>
      <c r="Q385" s="59"/>
      <c r="R385" s="42"/>
      <c r="S385" s="44"/>
      <c r="T385" s="42"/>
      <c r="U385" s="42"/>
      <c r="V385" s="42"/>
      <c r="W385" s="42"/>
      <c r="X385" s="42"/>
      <c r="Y385" s="42"/>
    </row>
    <row r="386" ht="15.75" customHeight="1" spans="1:25" x14ac:dyDescent="0.25">
      <c r="A386" s="42"/>
      <c r="B386" s="42"/>
      <c r="C386" s="42"/>
      <c r="D386" s="42"/>
      <c r="E386" s="58"/>
      <c r="F386" s="43"/>
      <c r="G386" s="42"/>
      <c r="H386" s="42"/>
      <c r="I386" s="58"/>
      <c r="J386" s="59"/>
      <c r="K386" s="59"/>
      <c r="L386" s="59"/>
      <c r="M386" s="59"/>
      <c r="N386" s="59"/>
      <c r="O386" s="59"/>
      <c r="P386" s="59"/>
      <c r="Q386" s="59"/>
      <c r="R386" s="42"/>
      <c r="S386" s="44"/>
      <c r="T386" s="42"/>
      <c r="U386" s="42"/>
      <c r="V386" s="42"/>
      <c r="W386" s="42"/>
      <c r="X386" s="42"/>
      <c r="Y386" s="42"/>
    </row>
    <row r="387" ht="15.75" customHeight="1" spans="1:25" x14ac:dyDescent="0.25">
      <c r="A387" s="42"/>
      <c r="B387" s="42"/>
      <c r="C387" s="42"/>
      <c r="D387" s="42"/>
      <c r="E387" s="58"/>
      <c r="F387" s="43"/>
      <c r="G387" s="42"/>
      <c r="H387" s="42"/>
      <c r="I387" s="58"/>
      <c r="J387" s="59"/>
      <c r="K387" s="59"/>
      <c r="L387" s="59"/>
      <c r="M387" s="59"/>
      <c r="N387" s="59"/>
      <c r="O387" s="59"/>
      <c r="P387" s="59"/>
      <c r="Q387" s="59"/>
      <c r="R387" s="42"/>
      <c r="S387" s="44"/>
      <c r="T387" s="42"/>
      <c r="U387" s="42"/>
      <c r="V387" s="42"/>
      <c r="W387" s="42"/>
      <c r="X387" s="42"/>
      <c r="Y387" s="42"/>
    </row>
    <row r="388" ht="15.75" customHeight="1" spans="1:25" x14ac:dyDescent="0.25">
      <c r="A388" s="42"/>
      <c r="B388" s="42"/>
      <c r="C388" s="42"/>
      <c r="D388" s="42"/>
      <c r="E388" s="58"/>
      <c r="F388" s="43"/>
      <c r="G388" s="42"/>
      <c r="H388" s="42"/>
      <c r="I388" s="58"/>
      <c r="J388" s="59"/>
      <c r="K388" s="59"/>
      <c r="L388" s="59"/>
      <c r="M388" s="59"/>
      <c r="N388" s="59"/>
      <c r="O388" s="59"/>
      <c r="P388" s="59"/>
      <c r="Q388" s="59"/>
      <c r="R388" s="42"/>
      <c r="S388" s="44"/>
      <c r="T388" s="42"/>
      <c r="U388" s="42"/>
      <c r="V388" s="42"/>
      <c r="W388" s="42"/>
      <c r="X388" s="42"/>
      <c r="Y388" s="42"/>
    </row>
    <row r="389" ht="15.75" customHeight="1" spans="1:25" x14ac:dyDescent="0.25">
      <c r="A389" s="42"/>
      <c r="B389" s="42"/>
      <c r="C389" s="42"/>
      <c r="D389" s="42"/>
      <c r="E389" s="58"/>
      <c r="F389" s="43"/>
      <c r="G389" s="42"/>
      <c r="H389" s="42"/>
      <c r="I389" s="58"/>
      <c r="J389" s="59"/>
      <c r="K389" s="59"/>
      <c r="L389" s="59"/>
      <c r="M389" s="59"/>
      <c r="N389" s="59"/>
      <c r="O389" s="59"/>
      <c r="P389" s="59"/>
      <c r="Q389" s="59"/>
      <c r="R389" s="42"/>
      <c r="S389" s="44"/>
      <c r="T389" s="42"/>
      <c r="U389" s="42"/>
      <c r="V389" s="42"/>
      <c r="W389" s="42"/>
      <c r="X389" s="42"/>
      <c r="Y389" s="42"/>
    </row>
    <row r="390" ht="15.75" customHeight="1" spans="1:25" x14ac:dyDescent="0.25">
      <c r="A390" s="42"/>
      <c r="B390" s="42"/>
      <c r="C390" s="42"/>
      <c r="D390" s="42"/>
      <c r="E390" s="58"/>
      <c r="F390" s="43"/>
      <c r="G390" s="42"/>
      <c r="H390" s="42"/>
      <c r="I390" s="58"/>
      <c r="J390" s="59"/>
      <c r="K390" s="59"/>
      <c r="L390" s="59"/>
      <c r="M390" s="59"/>
      <c r="N390" s="59"/>
      <c r="O390" s="59"/>
      <c r="P390" s="59"/>
      <c r="Q390" s="59"/>
      <c r="R390" s="42"/>
      <c r="S390" s="44"/>
      <c r="T390" s="42"/>
      <c r="U390" s="42"/>
      <c r="V390" s="42"/>
      <c r="W390" s="42"/>
      <c r="X390" s="42"/>
      <c r="Y390" s="42"/>
    </row>
    <row r="391" ht="15.75" customHeight="1" spans="1:25" x14ac:dyDescent="0.25">
      <c r="A391" s="42"/>
      <c r="B391" s="42"/>
      <c r="C391" s="42"/>
      <c r="D391" s="42"/>
      <c r="E391" s="58"/>
      <c r="F391" s="43"/>
      <c r="G391" s="42"/>
      <c r="H391" s="42"/>
      <c r="I391" s="58"/>
      <c r="J391" s="59"/>
      <c r="K391" s="59"/>
      <c r="L391" s="59"/>
      <c r="M391" s="59"/>
      <c r="N391" s="59"/>
      <c r="O391" s="59"/>
      <c r="P391" s="59"/>
      <c r="Q391" s="59"/>
      <c r="R391" s="42"/>
      <c r="S391" s="44"/>
      <c r="T391" s="42"/>
      <c r="U391" s="42"/>
      <c r="V391" s="42"/>
      <c r="W391" s="42"/>
      <c r="X391" s="42"/>
      <c r="Y391" s="42"/>
    </row>
    <row r="392" ht="15.75" customHeight="1" spans="1:25" x14ac:dyDescent="0.25">
      <c r="A392" s="42"/>
      <c r="B392" s="42"/>
      <c r="C392" s="42"/>
      <c r="D392" s="42"/>
      <c r="E392" s="58"/>
      <c r="F392" s="43"/>
      <c r="G392" s="42"/>
      <c r="H392" s="42"/>
      <c r="I392" s="58"/>
      <c r="J392" s="59"/>
      <c r="K392" s="59"/>
      <c r="L392" s="59"/>
      <c r="M392" s="59"/>
      <c r="N392" s="59"/>
      <c r="O392" s="59"/>
      <c r="P392" s="59"/>
      <c r="Q392" s="59"/>
      <c r="R392" s="42"/>
      <c r="S392" s="44"/>
      <c r="T392" s="42"/>
      <c r="U392" s="42"/>
      <c r="V392" s="42"/>
      <c r="W392" s="42"/>
      <c r="X392" s="42"/>
      <c r="Y392" s="42"/>
    </row>
    <row r="393" ht="15.75" customHeight="1" spans="1:25" x14ac:dyDescent="0.25">
      <c r="A393" s="42"/>
      <c r="B393" s="42"/>
      <c r="C393" s="42"/>
      <c r="D393" s="42"/>
      <c r="E393" s="58"/>
      <c r="F393" s="43"/>
      <c r="G393" s="42"/>
      <c r="H393" s="42"/>
      <c r="I393" s="58"/>
      <c r="J393" s="59"/>
      <c r="K393" s="59"/>
      <c r="L393" s="59"/>
      <c r="M393" s="59"/>
      <c r="N393" s="59"/>
      <c r="O393" s="59"/>
      <c r="P393" s="59"/>
      <c r="Q393" s="59"/>
      <c r="R393" s="42"/>
      <c r="S393" s="44"/>
      <c r="T393" s="42"/>
      <c r="U393" s="42"/>
      <c r="V393" s="42"/>
      <c r="W393" s="42"/>
      <c r="X393" s="42"/>
      <c r="Y393" s="42"/>
    </row>
    <row r="394" ht="15.75" customHeight="1" spans="1:25" x14ac:dyDescent="0.25">
      <c r="A394" s="42"/>
      <c r="B394" s="42"/>
      <c r="C394" s="42"/>
      <c r="D394" s="42"/>
      <c r="E394" s="58"/>
      <c r="F394" s="43"/>
      <c r="G394" s="42"/>
      <c r="H394" s="42"/>
      <c r="I394" s="58"/>
      <c r="J394" s="59"/>
      <c r="K394" s="59"/>
      <c r="L394" s="59"/>
      <c r="M394" s="59"/>
      <c r="N394" s="59"/>
      <c r="O394" s="59"/>
      <c r="P394" s="59"/>
      <c r="Q394" s="59"/>
      <c r="R394" s="42"/>
      <c r="S394" s="44"/>
      <c r="T394" s="42"/>
      <c r="U394" s="42"/>
      <c r="V394" s="42"/>
      <c r="W394" s="42"/>
      <c r="X394" s="42"/>
      <c r="Y394" s="42"/>
    </row>
    <row r="395" ht="15.75" customHeight="1" spans="1:25" x14ac:dyDescent="0.25">
      <c r="A395" s="42"/>
      <c r="B395" s="42"/>
      <c r="C395" s="42"/>
      <c r="D395" s="42"/>
      <c r="E395" s="58"/>
      <c r="F395" s="43"/>
      <c r="G395" s="42"/>
      <c r="H395" s="42"/>
      <c r="I395" s="58"/>
      <c r="J395" s="59"/>
      <c r="K395" s="59"/>
      <c r="L395" s="59"/>
      <c r="M395" s="59"/>
      <c r="N395" s="59"/>
      <c r="O395" s="59"/>
      <c r="P395" s="59"/>
      <c r="Q395" s="59"/>
      <c r="R395" s="42"/>
      <c r="S395" s="44"/>
      <c r="T395" s="42"/>
      <c r="U395" s="42"/>
      <c r="V395" s="42"/>
      <c r="W395" s="42"/>
      <c r="X395" s="42"/>
      <c r="Y395" s="42"/>
    </row>
    <row r="396" ht="15.75" customHeight="1" spans="1:25" x14ac:dyDescent="0.25">
      <c r="A396" s="42"/>
      <c r="B396" s="42"/>
      <c r="C396" s="42"/>
      <c r="D396" s="42"/>
      <c r="E396" s="58"/>
      <c r="F396" s="43"/>
      <c r="G396" s="42"/>
      <c r="H396" s="42"/>
      <c r="I396" s="58"/>
      <c r="J396" s="59"/>
      <c r="K396" s="59"/>
      <c r="L396" s="59"/>
      <c r="M396" s="59"/>
      <c r="N396" s="59"/>
      <c r="O396" s="59"/>
      <c r="P396" s="59"/>
      <c r="Q396" s="59"/>
      <c r="R396" s="42"/>
      <c r="S396" s="44"/>
      <c r="T396" s="42"/>
      <c r="U396" s="42"/>
      <c r="V396" s="42"/>
      <c r="W396" s="42"/>
      <c r="X396" s="42"/>
      <c r="Y396" s="42"/>
    </row>
    <row r="397" ht="15.75" customHeight="1" spans="1:25" x14ac:dyDescent="0.25">
      <c r="A397" s="42"/>
      <c r="B397" s="42"/>
      <c r="C397" s="42"/>
      <c r="D397" s="42"/>
      <c r="E397" s="58"/>
      <c r="F397" s="43"/>
      <c r="G397" s="42"/>
      <c r="H397" s="42"/>
      <c r="I397" s="58"/>
      <c r="J397" s="59"/>
      <c r="K397" s="59"/>
      <c r="L397" s="59"/>
      <c r="M397" s="59"/>
      <c r="N397" s="59"/>
      <c r="O397" s="59"/>
      <c r="P397" s="59"/>
      <c r="Q397" s="59"/>
      <c r="R397" s="42"/>
      <c r="S397" s="44"/>
      <c r="T397" s="42"/>
      <c r="U397" s="42"/>
      <c r="V397" s="42"/>
      <c r="W397" s="42"/>
      <c r="X397" s="42"/>
      <c r="Y397" s="42"/>
    </row>
    <row r="398" ht="15.75" customHeight="1" spans="1:25" x14ac:dyDescent="0.25">
      <c r="A398" s="42"/>
      <c r="B398" s="42"/>
      <c r="C398" s="42"/>
      <c r="D398" s="42"/>
      <c r="E398" s="58"/>
      <c r="F398" s="43"/>
      <c r="G398" s="42"/>
      <c r="H398" s="42"/>
      <c r="I398" s="58"/>
      <c r="J398" s="59"/>
      <c r="K398" s="59"/>
      <c r="L398" s="59"/>
      <c r="M398" s="59"/>
      <c r="N398" s="59"/>
      <c r="O398" s="59"/>
      <c r="P398" s="59"/>
      <c r="Q398" s="59"/>
      <c r="R398" s="42"/>
      <c r="S398" s="44"/>
      <c r="T398" s="42"/>
      <c r="U398" s="42"/>
      <c r="V398" s="42"/>
      <c r="W398" s="42"/>
      <c r="X398" s="42"/>
      <c r="Y398" s="42"/>
    </row>
    <row r="399" ht="15.75" customHeight="1" spans="1:25" x14ac:dyDescent="0.25">
      <c r="A399" s="42"/>
      <c r="B399" s="42"/>
      <c r="C399" s="42"/>
      <c r="D399" s="42"/>
      <c r="E399" s="58"/>
      <c r="F399" s="43"/>
      <c r="G399" s="42"/>
      <c r="H399" s="42"/>
      <c r="I399" s="58"/>
      <c r="J399" s="59"/>
      <c r="K399" s="59"/>
      <c r="L399" s="59"/>
      <c r="M399" s="59"/>
      <c r="N399" s="59"/>
      <c r="O399" s="59"/>
      <c r="P399" s="59"/>
      <c r="Q399" s="59"/>
      <c r="R399" s="42"/>
      <c r="S399" s="44"/>
      <c r="T399" s="42"/>
      <c r="U399" s="42"/>
      <c r="V399" s="42"/>
      <c r="W399" s="42"/>
      <c r="X399" s="42"/>
      <c r="Y399" s="42"/>
    </row>
    <row r="400" ht="15.75" customHeight="1" spans="1:25" x14ac:dyDescent="0.25">
      <c r="A400" s="42"/>
      <c r="B400" s="42"/>
      <c r="C400" s="42"/>
      <c r="D400" s="42"/>
      <c r="E400" s="58"/>
      <c r="F400" s="43"/>
      <c r="G400" s="42"/>
      <c r="H400" s="42"/>
      <c r="I400" s="58"/>
      <c r="J400" s="59"/>
      <c r="K400" s="59"/>
      <c r="L400" s="59"/>
      <c r="M400" s="59"/>
      <c r="N400" s="59"/>
      <c r="O400" s="59"/>
      <c r="P400" s="59"/>
      <c r="Q400" s="59"/>
      <c r="R400" s="42"/>
      <c r="S400" s="44"/>
      <c r="T400" s="42"/>
      <c r="U400" s="42"/>
      <c r="V400" s="42"/>
      <c r="W400" s="42"/>
      <c r="X400" s="42"/>
      <c r="Y400" s="42"/>
    </row>
    <row r="401" ht="15.75" customHeight="1" spans="1:25" x14ac:dyDescent="0.25">
      <c r="A401" s="42"/>
      <c r="B401" s="42"/>
      <c r="C401" s="42"/>
      <c r="D401" s="42"/>
      <c r="E401" s="58"/>
      <c r="F401" s="43"/>
      <c r="G401" s="42"/>
      <c r="H401" s="42"/>
      <c r="I401" s="58"/>
      <c r="J401" s="59"/>
      <c r="K401" s="59"/>
      <c r="L401" s="59"/>
      <c r="M401" s="59"/>
      <c r="N401" s="59"/>
      <c r="O401" s="59"/>
      <c r="P401" s="59"/>
      <c r="Q401" s="59"/>
      <c r="R401" s="42"/>
      <c r="S401" s="44"/>
      <c r="T401" s="42"/>
      <c r="U401" s="42"/>
      <c r="V401" s="42"/>
      <c r="W401" s="42"/>
      <c r="X401" s="42"/>
      <c r="Y401" s="42"/>
    </row>
    <row r="402" ht="15.75" customHeight="1" spans="1:25" x14ac:dyDescent="0.25">
      <c r="A402" s="42"/>
      <c r="B402" s="42"/>
      <c r="C402" s="42"/>
      <c r="D402" s="42"/>
      <c r="E402" s="58"/>
      <c r="F402" s="43"/>
      <c r="G402" s="42"/>
      <c r="H402" s="42"/>
      <c r="I402" s="58"/>
      <c r="J402" s="59"/>
      <c r="K402" s="59"/>
      <c r="L402" s="59"/>
      <c r="M402" s="59"/>
      <c r="N402" s="59"/>
      <c r="O402" s="59"/>
      <c r="P402" s="59"/>
      <c r="Q402" s="59"/>
      <c r="R402" s="42"/>
      <c r="S402" s="44"/>
      <c r="T402" s="42"/>
      <c r="U402" s="42"/>
      <c r="V402" s="42"/>
      <c r="W402" s="42"/>
      <c r="X402" s="42"/>
      <c r="Y402" s="42"/>
    </row>
    <row r="403" ht="15.75" customHeight="1" spans="1:25" x14ac:dyDescent="0.25">
      <c r="A403" s="42"/>
      <c r="B403" s="42"/>
      <c r="C403" s="42"/>
      <c r="D403" s="42"/>
      <c r="E403" s="58"/>
      <c r="F403" s="43"/>
      <c r="G403" s="42"/>
      <c r="H403" s="42"/>
      <c r="I403" s="58"/>
      <c r="J403" s="59"/>
      <c r="K403" s="59"/>
      <c r="L403" s="59"/>
      <c r="M403" s="59"/>
      <c r="N403" s="59"/>
      <c r="O403" s="59"/>
      <c r="P403" s="59"/>
      <c r="Q403" s="59"/>
      <c r="R403" s="42"/>
      <c r="S403" s="44"/>
      <c r="T403" s="42"/>
      <c r="U403" s="42"/>
      <c r="V403" s="42"/>
      <c r="W403" s="42"/>
      <c r="X403" s="42"/>
      <c r="Y403" s="42"/>
    </row>
    <row r="404" ht="15.75" customHeight="1" spans="1:25" x14ac:dyDescent="0.25">
      <c r="A404" s="42"/>
      <c r="B404" s="42"/>
      <c r="C404" s="42"/>
      <c r="D404" s="42"/>
      <c r="E404" s="58"/>
      <c r="F404" s="43"/>
      <c r="G404" s="42"/>
      <c r="H404" s="42"/>
      <c r="I404" s="58"/>
      <c r="J404" s="59"/>
      <c r="K404" s="59"/>
      <c r="L404" s="59"/>
      <c r="M404" s="59"/>
      <c r="N404" s="59"/>
      <c r="O404" s="59"/>
      <c r="P404" s="59"/>
      <c r="Q404" s="59"/>
      <c r="R404" s="42"/>
      <c r="S404" s="44"/>
      <c r="T404" s="42"/>
      <c r="U404" s="42"/>
      <c r="V404" s="42"/>
      <c r="W404" s="42"/>
      <c r="X404" s="42"/>
      <c r="Y404" s="42"/>
    </row>
    <row r="405" ht="15.75" customHeight="1" spans="1:25" x14ac:dyDescent="0.25">
      <c r="A405" s="42"/>
      <c r="B405" s="42"/>
      <c r="C405" s="42"/>
      <c r="D405" s="42"/>
      <c r="E405" s="58"/>
      <c r="F405" s="43"/>
      <c r="G405" s="42"/>
      <c r="H405" s="42"/>
      <c r="I405" s="58"/>
      <c r="J405" s="59"/>
      <c r="K405" s="59"/>
      <c r="L405" s="59"/>
      <c r="M405" s="59"/>
      <c r="N405" s="59"/>
      <c r="O405" s="59"/>
      <c r="P405" s="59"/>
      <c r="Q405" s="59"/>
      <c r="R405" s="42"/>
      <c r="S405" s="44"/>
      <c r="T405" s="42"/>
      <c r="U405" s="42"/>
      <c r="V405" s="42"/>
      <c r="W405" s="42"/>
      <c r="X405" s="42"/>
      <c r="Y405" s="42"/>
    </row>
    <row r="406" ht="15.75" customHeight="1" spans="1:25" x14ac:dyDescent="0.25">
      <c r="A406" s="42"/>
      <c r="B406" s="42"/>
      <c r="C406" s="42"/>
      <c r="D406" s="42"/>
      <c r="E406" s="58"/>
      <c r="F406" s="43"/>
      <c r="G406" s="42"/>
      <c r="H406" s="42"/>
      <c r="I406" s="58"/>
      <c r="J406" s="59"/>
      <c r="K406" s="59"/>
      <c r="L406" s="59"/>
      <c r="M406" s="59"/>
      <c r="N406" s="59"/>
      <c r="O406" s="59"/>
      <c r="P406" s="59"/>
      <c r="Q406" s="59"/>
      <c r="R406" s="42"/>
      <c r="S406" s="44"/>
      <c r="T406" s="42"/>
      <c r="U406" s="42"/>
      <c r="V406" s="42"/>
      <c r="W406" s="42"/>
      <c r="X406" s="42"/>
      <c r="Y406" s="42"/>
    </row>
    <row r="407" ht="15.75" customHeight="1" spans="1:25" x14ac:dyDescent="0.25">
      <c r="A407" s="42"/>
      <c r="B407" s="42"/>
      <c r="C407" s="42"/>
      <c r="D407" s="42"/>
      <c r="E407" s="58"/>
      <c r="F407" s="43"/>
      <c r="G407" s="42"/>
      <c r="H407" s="42"/>
      <c r="I407" s="58"/>
      <c r="J407" s="59"/>
      <c r="K407" s="59"/>
      <c r="L407" s="59"/>
      <c r="M407" s="59"/>
      <c r="N407" s="59"/>
      <c r="O407" s="59"/>
      <c r="P407" s="59"/>
      <c r="Q407" s="59"/>
      <c r="R407" s="42"/>
      <c r="S407" s="44"/>
      <c r="T407" s="42"/>
      <c r="U407" s="42"/>
      <c r="V407" s="42"/>
      <c r="W407" s="42"/>
      <c r="X407" s="42"/>
      <c r="Y407" s="42"/>
    </row>
    <row r="408" ht="15.75" customHeight="1" spans="1:25" x14ac:dyDescent="0.25">
      <c r="A408" s="42"/>
      <c r="B408" s="42"/>
      <c r="C408" s="42"/>
      <c r="D408" s="42"/>
      <c r="E408" s="58"/>
      <c r="F408" s="43"/>
      <c r="G408" s="42"/>
      <c r="H408" s="42"/>
      <c r="I408" s="58"/>
      <c r="J408" s="59"/>
      <c r="K408" s="59"/>
      <c r="L408" s="59"/>
      <c r="M408" s="59"/>
      <c r="N408" s="59"/>
      <c r="O408" s="59"/>
      <c r="P408" s="59"/>
      <c r="Q408" s="59"/>
      <c r="R408" s="42"/>
      <c r="S408" s="44"/>
      <c r="T408" s="42"/>
      <c r="U408" s="42"/>
      <c r="V408" s="42"/>
      <c r="W408" s="42"/>
      <c r="X408" s="42"/>
      <c r="Y408" s="42"/>
    </row>
    <row r="409" ht="15.75" customHeight="1" spans="1:25" x14ac:dyDescent="0.25">
      <c r="A409" s="42"/>
      <c r="B409" s="42"/>
      <c r="C409" s="42"/>
      <c r="D409" s="42"/>
      <c r="E409" s="58"/>
      <c r="F409" s="43"/>
      <c r="G409" s="42"/>
      <c r="H409" s="42"/>
      <c r="I409" s="58"/>
      <c r="J409" s="59"/>
      <c r="K409" s="59"/>
      <c r="L409" s="59"/>
      <c r="M409" s="59"/>
      <c r="N409" s="59"/>
      <c r="O409" s="59"/>
      <c r="P409" s="59"/>
      <c r="Q409" s="59"/>
      <c r="R409" s="42"/>
      <c r="S409" s="44"/>
      <c r="T409" s="42"/>
      <c r="U409" s="42"/>
      <c r="V409" s="42"/>
      <c r="W409" s="42"/>
      <c r="X409" s="42"/>
      <c r="Y409" s="42"/>
    </row>
    <row r="410" ht="15.75" customHeight="1" spans="1:25" x14ac:dyDescent="0.25">
      <c r="A410" s="42"/>
      <c r="B410" s="42"/>
      <c r="C410" s="42"/>
      <c r="D410" s="42"/>
      <c r="E410" s="58"/>
      <c r="F410" s="43"/>
      <c r="G410" s="42"/>
      <c r="H410" s="42"/>
      <c r="I410" s="58"/>
      <c r="J410" s="59"/>
      <c r="K410" s="59"/>
      <c r="L410" s="59"/>
      <c r="M410" s="59"/>
      <c r="N410" s="59"/>
      <c r="O410" s="59"/>
      <c r="P410" s="59"/>
      <c r="Q410" s="59"/>
      <c r="R410" s="42"/>
      <c r="S410" s="44"/>
      <c r="T410" s="42"/>
      <c r="U410" s="42"/>
      <c r="V410" s="42"/>
      <c r="W410" s="42"/>
      <c r="X410" s="42"/>
      <c r="Y410" s="42"/>
    </row>
    <row r="411" ht="15.75" customHeight="1" spans="1:25" x14ac:dyDescent="0.25">
      <c r="A411" s="42"/>
      <c r="B411" s="42"/>
      <c r="C411" s="42"/>
      <c r="D411" s="42"/>
      <c r="E411" s="58"/>
      <c r="F411" s="43"/>
      <c r="G411" s="42"/>
      <c r="H411" s="42"/>
      <c r="I411" s="58"/>
      <c r="J411" s="59"/>
      <c r="K411" s="59"/>
      <c r="L411" s="59"/>
      <c r="M411" s="59"/>
      <c r="N411" s="59"/>
      <c r="O411" s="59"/>
      <c r="P411" s="59"/>
      <c r="Q411" s="59"/>
      <c r="R411" s="42"/>
      <c r="S411" s="44"/>
      <c r="T411" s="42"/>
      <c r="U411" s="42"/>
      <c r="V411" s="42"/>
      <c r="W411" s="42"/>
      <c r="X411" s="42"/>
      <c r="Y411" s="42"/>
    </row>
    <row r="412" ht="15.75" customHeight="1" spans="1:25" x14ac:dyDescent="0.25">
      <c r="A412" s="42"/>
      <c r="B412" s="42"/>
      <c r="C412" s="42"/>
      <c r="D412" s="42"/>
      <c r="E412" s="58"/>
      <c r="F412" s="43"/>
      <c r="G412" s="42"/>
      <c r="H412" s="42"/>
      <c r="I412" s="58"/>
      <c r="J412" s="59"/>
      <c r="K412" s="59"/>
      <c r="L412" s="59"/>
      <c r="M412" s="59"/>
      <c r="N412" s="59"/>
      <c r="O412" s="59"/>
      <c r="P412" s="59"/>
      <c r="Q412" s="59"/>
      <c r="R412" s="42"/>
      <c r="S412" s="44"/>
      <c r="T412" s="42"/>
      <c r="U412" s="42"/>
      <c r="V412" s="42"/>
      <c r="W412" s="42"/>
      <c r="X412" s="42"/>
      <c r="Y412" s="42"/>
    </row>
    <row r="413" ht="15.75" customHeight="1" spans="1:25" x14ac:dyDescent="0.25">
      <c r="A413" s="42"/>
      <c r="B413" s="42"/>
      <c r="C413" s="42"/>
      <c r="D413" s="42"/>
      <c r="E413" s="58"/>
      <c r="F413" s="43"/>
      <c r="G413" s="42"/>
      <c r="H413" s="42"/>
      <c r="I413" s="58"/>
      <c r="J413" s="59"/>
      <c r="K413" s="59"/>
      <c r="L413" s="59"/>
      <c r="M413" s="59"/>
      <c r="N413" s="59"/>
      <c r="O413" s="59"/>
      <c r="P413" s="59"/>
      <c r="Q413" s="59"/>
      <c r="R413" s="42"/>
      <c r="S413" s="44"/>
      <c r="T413" s="42"/>
      <c r="U413" s="42"/>
      <c r="V413" s="42"/>
      <c r="W413" s="42"/>
      <c r="X413" s="42"/>
      <c r="Y413" s="42"/>
    </row>
    <row r="414" ht="15.75" customHeight="1" spans="1:25" x14ac:dyDescent="0.25">
      <c r="A414" s="42"/>
      <c r="B414" s="42"/>
      <c r="C414" s="42"/>
      <c r="D414" s="42"/>
      <c r="E414" s="58"/>
      <c r="F414" s="43"/>
      <c r="G414" s="42"/>
      <c r="H414" s="42"/>
      <c r="I414" s="58"/>
      <c r="J414" s="59"/>
      <c r="K414" s="59"/>
      <c r="L414" s="59"/>
      <c r="M414" s="59"/>
      <c r="N414" s="59"/>
      <c r="O414" s="59"/>
      <c r="P414" s="59"/>
      <c r="Q414" s="59"/>
      <c r="R414" s="42"/>
      <c r="S414" s="44"/>
      <c r="T414" s="42"/>
      <c r="U414" s="42"/>
      <c r="V414" s="42"/>
      <c r="W414" s="42"/>
      <c r="X414" s="42"/>
      <c r="Y414" s="42"/>
    </row>
    <row r="415" ht="15.75" customHeight="1" spans="1:25" x14ac:dyDescent="0.25">
      <c r="A415" s="42"/>
      <c r="B415" s="42"/>
      <c r="C415" s="42"/>
      <c r="D415" s="42"/>
      <c r="E415" s="58"/>
      <c r="F415" s="43"/>
      <c r="G415" s="42"/>
      <c r="H415" s="42"/>
      <c r="I415" s="58"/>
      <c r="J415" s="59"/>
      <c r="K415" s="59"/>
      <c r="L415" s="59"/>
      <c r="M415" s="59"/>
      <c r="N415" s="59"/>
      <c r="O415" s="59"/>
      <c r="P415" s="59"/>
      <c r="Q415" s="59"/>
      <c r="R415" s="42"/>
      <c r="S415" s="44"/>
      <c r="T415" s="42"/>
      <c r="U415" s="42"/>
      <c r="V415" s="42"/>
      <c r="W415" s="42"/>
      <c r="X415" s="42"/>
      <c r="Y415" s="42"/>
    </row>
    <row r="416" ht="15.75" customHeight="1" spans="1:25" x14ac:dyDescent="0.25">
      <c r="A416" s="42"/>
      <c r="B416" s="42"/>
      <c r="C416" s="42"/>
      <c r="D416" s="42"/>
      <c r="E416" s="58"/>
      <c r="F416" s="43"/>
      <c r="G416" s="42"/>
      <c r="H416" s="42"/>
      <c r="I416" s="58"/>
      <c r="J416" s="59"/>
      <c r="K416" s="59"/>
      <c r="L416" s="59"/>
      <c r="M416" s="59"/>
      <c r="N416" s="59"/>
      <c r="O416" s="59"/>
      <c r="P416" s="59"/>
      <c r="Q416" s="59"/>
      <c r="R416" s="42"/>
      <c r="S416" s="44"/>
      <c r="T416" s="42"/>
      <c r="U416" s="42"/>
      <c r="V416" s="42"/>
      <c r="W416" s="42"/>
      <c r="X416" s="42"/>
      <c r="Y416" s="42"/>
    </row>
    <row r="417" ht="15.75" customHeight="1" spans="1:25" x14ac:dyDescent="0.25">
      <c r="A417" s="42"/>
      <c r="B417" s="42"/>
      <c r="C417" s="42"/>
      <c r="D417" s="42"/>
      <c r="E417" s="58"/>
      <c r="F417" s="43"/>
      <c r="G417" s="42"/>
      <c r="H417" s="42"/>
      <c r="I417" s="58"/>
      <c r="J417" s="59"/>
      <c r="K417" s="59"/>
      <c r="L417" s="59"/>
      <c r="M417" s="59"/>
      <c r="N417" s="59"/>
      <c r="O417" s="59"/>
      <c r="P417" s="59"/>
      <c r="Q417" s="59"/>
      <c r="R417" s="42"/>
      <c r="S417" s="44"/>
      <c r="T417" s="42"/>
      <c r="U417" s="42"/>
      <c r="V417" s="42"/>
      <c r="W417" s="42"/>
      <c r="X417" s="42"/>
      <c r="Y417" s="42"/>
    </row>
    <row r="418" ht="15.75" customHeight="1" spans="1:25" x14ac:dyDescent="0.25">
      <c r="A418" s="42"/>
      <c r="B418" s="42"/>
      <c r="C418" s="42"/>
      <c r="D418" s="42"/>
      <c r="E418" s="58"/>
      <c r="F418" s="43"/>
      <c r="G418" s="42"/>
      <c r="H418" s="42"/>
      <c r="I418" s="58"/>
      <c r="J418" s="59"/>
      <c r="K418" s="59"/>
      <c r="L418" s="59"/>
      <c r="M418" s="59"/>
      <c r="N418" s="59"/>
      <c r="O418" s="59"/>
      <c r="P418" s="59"/>
      <c r="Q418" s="59"/>
      <c r="R418" s="42"/>
      <c r="S418" s="44"/>
      <c r="T418" s="42"/>
      <c r="U418" s="42"/>
      <c r="V418" s="42"/>
      <c r="W418" s="42"/>
      <c r="X418" s="42"/>
      <c r="Y418" s="42"/>
    </row>
    <row r="419" ht="15.75" customHeight="1" spans="1:25" x14ac:dyDescent="0.25">
      <c r="A419" s="42"/>
      <c r="B419" s="42"/>
      <c r="C419" s="42"/>
      <c r="D419" s="42"/>
      <c r="E419" s="58"/>
      <c r="F419" s="43"/>
      <c r="G419" s="42"/>
      <c r="H419" s="42"/>
      <c r="I419" s="58"/>
      <c r="J419" s="59"/>
      <c r="K419" s="59"/>
      <c r="L419" s="59"/>
      <c r="M419" s="59"/>
      <c r="N419" s="59"/>
      <c r="O419" s="59"/>
      <c r="P419" s="59"/>
      <c r="Q419" s="59"/>
      <c r="R419" s="42"/>
      <c r="S419" s="44"/>
      <c r="T419" s="42"/>
      <c r="U419" s="42"/>
      <c r="V419" s="42"/>
      <c r="W419" s="42"/>
      <c r="X419" s="42"/>
      <c r="Y419" s="42"/>
    </row>
    <row r="420" ht="15.75" customHeight="1" spans="1:25" x14ac:dyDescent="0.25">
      <c r="A420" s="42"/>
      <c r="B420" s="42"/>
      <c r="C420" s="42"/>
      <c r="D420" s="42"/>
      <c r="E420" s="58"/>
      <c r="F420" s="43"/>
      <c r="G420" s="42"/>
      <c r="H420" s="42"/>
      <c r="I420" s="58"/>
      <c r="J420" s="59"/>
      <c r="K420" s="59"/>
      <c r="L420" s="59"/>
      <c r="M420" s="59"/>
      <c r="N420" s="59"/>
      <c r="O420" s="59"/>
      <c r="P420" s="59"/>
      <c r="Q420" s="59"/>
      <c r="R420" s="42"/>
      <c r="S420" s="44"/>
      <c r="T420" s="42"/>
      <c r="U420" s="42"/>
      <c r="V420" s="42"/>
      <c r="W420" s="42"/>
      <c r="X420" s="42"/>
      <c r="Y420" s="42"/>
    </row>
    <row r="421" ht="15.75" customHeight="1" spans="1:25" x14ac:dyDescent="0.25">
      <c r="A421" s="42"/>
      <c r="B421" s="42"/>
      <c r="C421" s="42"/>
      <c r="D421" s="42"/>
      <c r="E421" s="58"/>
      <c r="F421" s="43"/>
      <c r="G421" s="42"/>
      <c r="H421" s="42"/>
      <c r="I421" s="58"/>
      <c r="J421" s="59"/>
      <c r="K421" s="59"/>
      <c r="L421" s="59"/>
      <c r="M421" s="59"/>
      <c r="N421" s="59"/>
      <c r="O421" s="59"/>
      <c r="P421" s="59"/>
      <c r="Q421" s="59"/>
      <c r="R421" s="42"/>
      <c r="S421" s="44"/>
      <c r="T421" s="42"/>
      <c r="U421" s="42"/>
      <c r="V421" s="42"/>
      <c r="W421" s="42"/>
      <c r="X421" s="42"/>
      <c r="Y421" s="42"/>
    </row>
    <row r="422" ht="15.75" customHeight="1" spans="1:25" x14ac:dyDescent="0.25">
      <c r="A422" s="42"/>
      <c r="B422" s="42"/>
      <c r="C422" s="42"/>
      <c r="D422" s="42"/>
      <c r="E422" s="58"/>
      <c r="F422" s="43"/>
      <c r="G422" s="42"/>
      <c r="H422" s="42"/>
      <c r="I422" s="58"/>
      <c r="J422" s="59"/>
      <c r="K422" s="59"/>
      <c r="L422" s="59"/>
      <c r="M422" s="59"/>
      <c r="N422" s="59"/>
      <c r="O422" s="59"/>
      <c r="P422" s="59"/>
      <c r="Q422" s="59"/>
      <c r="R422" s="42"/>
      <c r="S422" s="44"/>
      <c r="T422" s="42"/>
      <c r="U422" s="42"/>
      <c r="V422" s="42"/>
      <c r="W422" s="42"/>
      <c r="X422" s="42"/>
      <c r="Y422" s="42"/>
    </row>
    <row r="423" ht="15.75" customHeight="1" spans="1:25" x14ac:dyDescent="0.25">
      <c r="A423" s="42"/>
      <c r="B423" s="42"/>
      <c r="C423" s="42"/>
      <c r="D423" s="42"/>
      <c r="E423" s="58"/>
      <c r="F423" s="43"/>
      <c r="G423" s="42"/>
      <c r="H423" s="42"/>
      <c r="I423" s="58"/>
      <c r="J423" s="59"/>
      <c r="K423" s="59"/>
      <c r="L423" s="59"/>
      <c r="M423" s="59"/>
      <c r="N423" s="59"/>
      <c r="O423" s="59"/>
      <c r="P423" s="59"/>
      <c r="Q423" s="59"/>
      <c r="R423" s="42"/>
      <c r="S423" s="44"/>
      <c r="T423" s="42"/>
      <c r="U423" s="42"/>
      <c r="V423" s="42"/>
      <c r="W423" s="42"/>
      <c r="X423" s="42"/>
      <c r="Y423" s="42"/>
    </row>
    <row r="424" ht="15.75" customHeight="1" spans="1:25" x14ac:dyDescent="0.25">
      <c r="A424" s="42"/>
      <c r="B424" s="42"/>
      <c r="C424" s="42"/>
      <c r="D424" s="42"/>
      <c r="E424" s="58"/>
      <c r="F424" s="43"/>
      <c r="G424" s="42"/>
      <c r="H424" s="42"/>
      <c r="I424" s="58"/>
      <c r="J424" s="59"/>
      <c r="K424" s="59"/>
      <c r="L424" s="59"/>
      <c r="M424" s="59"/>
      <c r="N424" s="59"/>
      <c r="O424" s="59"/>
      <c r="P424" s="59"/>
      <c r="Q424" s="59"/>
      <c r="R424" s="42"/>
      <c r="S424" s="44"/>
      <c r="T424" s="42"/>
      <c r="U424" s="42"/>
      <c r="V424" s="42"/>
      <c r="W424" s="42"/>
      <c r="X424" s="42"/>
      <c r="Y424" s="42"/>
    </row>
    <row r="425" ht="15.75" customHeight="1" spans="1:25" x14ac:dyDescent="0.25">
      <c r="A425" s="42"/>
      <c r="B425" s="42"/>
      <c r="C425" s="42"/>
      <c r="D425" s="42"/>
      <c r="E425" s="58"/>
      <c r="F425" s="43"/>
      <c r="G425" s="42"/>
      <c r="H425" s="42"/>
      <c r="I425" s="58"/>
      <c r="J425" s="59"/>
      <c r="K425" s="59"/>
      <c r="L425" s="59"/>
      <c r="M425" s="59"/>
      <c r="N425" s="59"/>
      <c r="O425" s="59"/>
      <c r="P425" s="59"/>
      <c r="Q425" s="59"/>
      <c r="R425" s="42"/>
      <c r="S425" s="44"/>
      <c r="T425" s="42"/>
      <c r="U425" s="42"/>
      <c r="V425" s="42"/>
      <c r="W425" s="42"/>
      <c r="X425" s="42"/>
      <c r="Y425" s="42"/>
    </row>
    <row r="426" ht="15.75" customHeight="1" spans="1:25" x14ac:dyDescent="0.25">
      <c r="A426" s="42"/>
      <c r="B426" s="42"/>
      <c r="C426" s="42"/>
      <c r="D426" s="42"/>
      <c r="E426" s="58"/>
      <c r="F426" s="43"/>
      <c r="G426" s="42"/>
      <c r="H426" s="42"/>
      <c r="I426" s="58"/>
      <c r="J426" s="59"/>
      <c r="K426" s="59"/>
      <c r="L426" s="59"/>
      <c r="M426" s="59"/>
      <c r="N426" s="59"/>
      <c r="O426" s="59"/>
      <c r="P426" s="59"/>
      <c r="Q426" s="59"/>
      <c r="R426" s="42"/>
      <c r="S426" s="44"/>
      <c r="T426" s="42"/>
      <c r="U426" s="42"/>
      <c r="V426" s="42"/>
      <c r="W426" s="42"/>
      <c r="X426" s="42"/>
      <c r="Y426" s="42"/>
    </row>
    <row r="427" ht="15.75" customHeight="1" spans="1:25" x14ac:dyDescent="0.25">
      <c r="A427" s="42"/>
      <c r="B427" s="42"/>
      <c r="C427" s="42"/>
      <c r="D427" s="42"/>
      <c r="E427" s="58"/>
      <c r="F427" s="43"/>
      <c r="G427" s="42"/>
      <c r="H427" s="42"/>
      <c r="I427" s="58"/>
      <c r="J427" s="59"/>
      <c r="K427" s="59"/>
      <c r="L427" s="59"/>
      <c r="M427" s="59"/>
      <c r="N427" s="59"/>
      <c r="O427" s="59"/>
      <c r="P427" s="59"/>
      <c r="Q427" s="59"/>
      <c r="R427" s="42"/>
      <c r="S427" s="44"/>
      <c r="T427" s="42"/>
      <c r="U427" s="42"/>
      <c r="V427" s="42"/>
      <c r="W427" s="42"/>
      <c r="X427" s="42"/>
      <c r="Y427" s="42"/>
    </row>
    <row r="428" ht="15.75" customHeight="1" spans="1:25" x14ac:dyDescent="0.25">
      <c r="A428" s="42"/>
      <c r="B428" s="42"/>
      <c r="C428" s="42"/>
      <c r="D428" s="42"/>
      <c r="E428" s="58"/>
      <c r="F428" s="43"/>
      <c r="G428" s="42"/>
      <c r="H428" s="42"/>
      <c r="I428" s="58"/>
      <c r="J428" s="59"/>
      <c r="K428" s="59"/>
      <c r="L428" s="59"/>
      <c r="M428" s="59"/>
      <c r="N428" s="59"/>
      <c r="O428" s="59"/>
      <c r="P428" s="59"/>
      <c r="Q428" s="59"/>
      <c r="R428" s="42"/>
      <c r="S428" s="44"/>
      <c r="T428" s="42"/>
      <c r="U428" s="42"/>
      <c r="V428" s="42"/>
      <c r="W428" s="42"/>
      <c r="X428" s="42"/>
      <c r="Y428" s="42"/>
    </row>
    <row r="429" ht="15.75" customHeight="1" spans="1:25" x14ac:dyDescent="0.25">
      <c r="A429" s="42"/>
      <c r="B429" s="42"/>
      <c r="C429" s="42"/>
      <c r="D429" s="42"/>
      <c r="E429" s="58"/>
      <c r="F429" s="43"/>
      <c r="G429" s="42"/>
      <c r="H429" s="42"/>
      <c r="I429" s="58"/>
      <c r="J429" s="59"/>
      <c r="K429" s="59"/>
      <c r="L429" s="59"/>
      <c r="M429" s="59"/>
      <c r="N429" s="59"/>
      <c r="O429" s="59"/>
      <c r="P429" s="59"/>
      <c r="Q429" s="59"/>
      <c r="R429" s="42"/>
      <c r="S429" s="44"/>
      <c r="T429" s="42"/>
      <c r="U429" s="42"/>
      <c r="V429" s="42"/>
      <c r="W429" s="42"/>
      <c r="X429" s="42"/>
      <c r="Y429" s="42"/>
    </row>
    <row r="430" ht="15.75" customHeight="1" spans="1:25" x14ac:dyDescent="0.25">
      <c r="A430" s="42"/>
      <c r="B430" s="42"/>
      <c r="C430" s="42"/>
      <c r="D430" s="42"/>
      <c r="E430" s="58"/>
      <c r="F430" s="43"/>
      <c r="G430" s="42"/>
      <c r="H430" s="42"/>
      <c r="I430" s="58"/>
      <c r="J430" s="59"/>
      <c r="K430" s="59"/>
      <c r="L430" s="59"/>
      <c r="M430" s="59"/>
      <c r="N430" s="59"/>
      <c r="O430" s="59"/>
      <c r="P430" s="59"/>
      <c r="Q430" s="59"/>
      <c r="R430" s="42"/>
      <c r="S430" s="44"/>
      <c r="T430" s="42"/>
      <c r="U430" s="42"/>
      <c r="V430" s="42"/>
      <c r="W430" s="42"/>
      <c r="X430" s="42"/>
      <c r="Y430" s="42"/>
    </row>
    <row r="431" ht="15.75" customHeight="1" spans="1:25" x14ac:dyDescent="0.25">
      <c r="A431" s="42"/>
      <c r="B431" s="42"/>
      <c r="C431" s="42"/>
      <c r="D431" s="42"/>
      <c r="E431" s="58"/>
      <c r="F431" s="43"/>
      <c r="G431" s="42"/>
      <c r="H431" s="42"/>
      <c r="I431" s="58"/>
      <c r="J431" s="59"/>
      <c r="K431" s="59"/>
      <c r="L431" s="59"/>
      <c r="M431" s="59"/>
      <c r="N431" s="59"/>
      <c r="O431" s="59"/>
      <c r="P431" s="59"/>
      <c r="Q431" s="59"/>
      <c r="R431" s="42"/>
      <c r="S431" s="44"/>
      <c r="T431" s="42"/>
      <c r="U431" s="42"/>
      <c r="V431" s="42"/>
      <c r="W431" s="42"/>
      <c r="X431" s="42"/>
      <c r="Y431" s="42"/>
    </row>
    <row r="432" ht="15.75" customHeight="1" spans="1:25" x14ac:dyDescent="0.25">
      <c r="A432" s="42"/>
      <c r="B432" s="42"/>
      <c r="C432" s="42"/>
      <c r="D432" s="42"/>
      <c r="E432" s="58"/>
      <c r="F432" s="43"/>
      <c r="G432" s="42"/>
      <c r="H432" s="42"/>
      <c r="I432" s="58"/>
      <c r="J432" s="59"/>
      <c r="K432" s="59"/>
      <c r="L432" s="59"/>
      <c r="M432" s="59"/>
      <c r="N432" s="59"/>
      <c r="O432" s="59"/>
      <c r="P432" s="59"/>
      <c r="Q432" s="59"/>
      <c r="R432" s="42"/>
      <c r="S432" s="44"/>
      <c r="T432" s="42"/>
      <c r="U432" s="42"/>
      <c r="V432" s="42"/>
      <c r="W432" s="42"/>
      <c r="X432" s="42"/>
      <c r="Y432" s="42"/>
    </row>
    <row r="433" ht="15.75" customHeight="1" spans="1:25" x14ac:dyDescent="0.25">
      <c r="A433" s="42"/>
      <c r="B433" s="42"/>
      <c r="C433" s="42"/>
      <c r="D433" s="42"/>
      <c r="E433" s="58"/>
      <c r="F433" s="43"/>
      <c r="G433" s="42"/>
      <c r="H433" s="42"/>
      <c r="I433" s="58"/>
      <c r="J433" s="59"/>
      <c r="K433" s="59"/>
      <c r="L433" s="59"/>
      <c r="M433" s="59"/>
      <c r="N433" s="59"/>
      <c r="O433" s="59"/>
      <c r="P433" s="59"/>
      <c r="Q433" s="59"/>
      <c r="R433" s="42"/>
      <c r="S433" s="44"/>
      <c r="T433" s="42"/>
      <c r="U433" s="42"/>
      <c r="V433" s="42"/>
      <c r="W433" s="42"/>
      <c r="X433" s="42"/>
      <c r="Y433" s="42"/>
    </row>
    <row r="434" ht="15.75" customHeight="1" spans="1:25" x14ac:dyDescent="0.25">
      <c r="A434" s="42"/>
      <c r="B434" s="42"/>
      <c r="C434" s="42"/>
      <c r="D434" s="42"/>
      <c r="E434" s="58"/>
      <c r="F434" s="43"/>
      <c r="G434" s="42"/>
      <c r="H434" s="42"/>
      <c r="I434" s="58"/>
      <c r="J434" s="59"/>
      <c r="K434" s="59"/>
      <c r="L434" s="59"/>
      <c r="M434" s="59"/>
      <c r="N434" s="59"/>
      <c r="O434" s="59"/>
      <c r="P434" s="59"/>
      <c r="Q434" s="59"/>
      <c r="R434" s="42"/>
      <c r="S434" s="44"/>
      <c r="T434" s="42"/>
      <c r="U434" s="42"/>
      <c r="V434" s="42"/>
      <c r="W434" s="42"/>
      <c r="X434" s="42"/>
      <c r="Y434" s="42"/>
    </row>
    <row r="435" ht="15.75" customHeight="1" spans="1:25" x14ac:dyDescent="0.25">
      <c r="A435" s="42"/>
      <c r="B435" s="42"/>
      <c r="C435" s="42"/>
      <c r="D435" s="42"/>
      <c r="E435" s="58"/>
      <c r="F435" s="43"/>
      <c r="G435" s="42"/>
      <c r="H435" s="42"/>
      <c r="I435" s="58"/>
      <c r="J435" s="59"/>
      <c r="K435" s="59"/>
      <c r="L435" s="59"/>
      <c r="M435" s="59"/>
      <c r="N435" s="59"/>
      <c r="O435" s="59"/>
      <c r="P435" s="59"/>
      <c r="Q435" s="59"/>
      <c r="R435" s="42"/>
      <c r="S435" s="44"/>
      <c r="T435" s="42"/>
      <c r="U435" s="42"/>
      <c r="V435" s="42"/>
      <c r="W435" s="42"/>
      <c r="X435" s="42"/>
      <c r="Y435" s="42"/>
    </row>
    <row r="436" ht="15.75" customHeight="1" spans="1:25" x14ac:dyDescent="0.25">
      <c r="A436" s="42"/>
      <c r="B436" s="42"/>
      <c r="C436" s="42"/>
      <c r="D436" s="42"/>
      <c r="E436" s="58"/>
      <c r="F436" s="43"/>
      <c r="G436" s="42"/>
      <c r="H436" s="42"/>
      <c r="I436" s="58"/>
      <c r="J436" s="59"/>
      <c r="K436" s="59"/>
      <c r="L436" s="59"/>
      <c r="M436" s="59"/>
      <c r="N436" s="59"/>
      <c r="O436" s="59"/>
      <c r="P436" s="59"/>
      <c r="Q436" s="59"/>
      <c r="R436" s="42"/>
      <c r="S436" s="44"/>
      <c r="T436" s="42"/>
      <c r="U436" s="42"/>
      <c r="V436" s="42"/>
      <c r="W436" s="42"/>
      <c r="X436" s="42"/>
      <c r="Y436" s="42"/>
    </row>
    <row r="437" ht="15.75" customHeight="1" spans="1:25" x14ac:dyDescent="0.25">
      <c r="A437" s="42"/>
      <c r="B437" s="42"/>
      <c r="C437" s="42"/>
      <c r="D437" s="42"/>
      <c r="E437" s="58"/>
      <c r="F437" s="43"/>
      <c r="G437" s="42"/>
      <c r="H437" s="42"/>
      <c r="I437" s="58"/>
      <c r="J437" s="59"/>
      <c r="K437" s="59"/>
      <c r="L437" s="59"/>
      <c r="M437" s="59"/>
      <c r="N437" s="59"/>
      <c r="O437" s="59"/>
      <c r="P437" s="59"/>
      <c r="Q437" s="59"/>
      <c r="R437" s="42"/>
      <c r="S437" s="44"/>
      <c r="T437" s="42"/>
      <c r="U437" s="42"/>
      <c r="V437" s="42"/>
      <c r="W437" s="42"/>
      <c r="X437" s="42"/>
      <c r="Y437" s="42"/>
    </row>
    <row r="438" ht="15.75" customHeight="1" spans="1:25" x14ac:dyDescent="0.25">
      <c r="A438" s="42"/>
      <c r="B438" s="42"/>
      <c r="C438" s="42"/>
      <c r="D438" s="42"/>
      <c r="E438" s="58"/>
      <c r="F438" s="43"/>
      <c r="G438" s="42"/>
      <c r="H438" s="42"/>
      <c r="I438" s="58"/>
      <c r="J438" s="59"/>
      <c r="K438" s="59"/>
      <c r="L438" s="59"/>
      <c r="M438" s="59"/>
      <c r="N438" s="59"/>
      <c r="O438" s="59"/>
      <c r="P438" s="59"/>
      <c r="Q438" s="59"/>
      <c r="R438" s="42"/>
      <c r="S438" s="44"/>
      <c r="T438" s="42"/>
      <c r="U438" s="42"/>
      <c r="V438" s="42"/>
      <c r="W438" s="42"/>
      <c r="X438" s="42"/>
      <c r="Y438" s="42"/>
    </row>
    <row r="439" ht="15.75" customHeight="1" spans="1:25" x14ac:dyDescent="0.25">
      <c r="A439" s="42"/>
      <c r="B439" s="42"/>
      <c r="C439" s="42"/>
      <c r="D439" s="42"/>
      <c r="E439" s="58"/>
      <c r="F439" s="43"/>
      <c r="G439" s="42"/>
      <c r="H439" s="42"/>
      <c r="I439" s="58"/>
      <c r="J439" s="59"/>
      <c r="K439" s="59"/>
      <c r="L439" s="59"/>
      <c r="M439" s="59"/>
      <c r="N439" s="59"/>
      <c r="O439" s="59"/>
      <c r="P439" s="59"/>
      <c r="Q439" s="59"/>
      <c r="R439" s="42"/>
      <c r="S439" s="44"/>
      <c r="T439" s="42"/>
      <c r="U439" s="42"/>
      <c r="V439" s="42"/>
      <c r="W439" s="42"/>
      <c r="X439" s="42"/>
      <c r="Y439" s="42"/>
    </row>
    <row r="440" ht="15.75" customHeight="1" spans="1:25" x14ac:dyDescent="0.25">
      <c r="A440" s="42"/>
      <c r="B440" s="42"/>
      <c r="C440" s="42"/>
      <c r="D440" s="42"/>
      <c r="E440" s="58"/>
      <c r="F440" s="43"/>
      <c r="G440" s="42"/>
      <c r="H440" s="42"/>
      <c r="I440" s="58"/>
      <c r="J440" s="59"/>
      <c r="K440" s="59"/>
      <c r="L440" s="59"/>
      <c r="M440" s="59"/>
      <c r="N440" s="59"/>
      <c r="O440" s="59"/>
      <c r="P440" s="59"/>
      <c r="Q440" s="59"/>
      <c r="R440" s="42"/>
      <c r="S440" s="44"/>
      <c r="T440" s="42"/>
      <c r="U440" s="42"/>
      <c r="V440" s="42"/>
      <c r="W440" s="42"/>
      <c r="X440" s="42"/>
      <c r="Y440" s="42"/>
    </row>
    <row r="441" ht="15.75" customHeight="1" spans="1:25" x14ac:dyDescent="0.25">
      <c r="A441" s="42"/>
      <c r="B441" s="42"/>
      <c r="C441" s="42"/>
      <c r="D441" s="42"/>
      <c r="E441" s="58"/>
      <c r="F441" s="43"/>
      <c r="G441" s="42"/>
      <c r="H441" s="42"/>
      <c r="I441" s="58"/>
      <c r="J441" s="59"/>
      <c r="K441" s="59"/>
      <c r="L441" s="59"/>
      <c r="M441" s="59"/>
      <c r="N441" s="59"/>
      <c r="O441" s="59"/>
      <c r="P441" s="59"/>
      <c r="Q441" s="59"/>
      <c r="R441" s="42"/>
      <c r="S441" s="44"/>
      <c r="T441" s="42"/>
      <c r="U441" s="42"/>
      <c r="V441" s="42"/>
      <c r="W441" s="42"/>
      <c r="X441" s="42"/>
      <c r="Y441" s="42"/>
    </row>
    <row r="442" ht="15.75" customHeight="1" spans="1:25" x14ac:dyDescent="0.25">
      <c r="A442" s="42"/>
      <c r="B442" s="42"/>
      <c r="C442" s="42"/>
      <c r="D442" s="42"/>
      <c r="E442" s="58"/>
      <c r="F442" s="43"/>
      <c r="G442" s="42"/>
      <c r="H442" s="42"/>
      <c r="I442" s="58"/>
      <c r="J442" s="59"/>
      <c r="K442" s="59"/>
      <c r="L442" s="59"/>
      <c r="M442" s="59"/>
      <c r="N442" s="59"/>
      <c r="O442" s="59"/>
      <c r="P442" s="59"/>
      <c r="Q442" s="59"/>
      <c r="R442" s="42"/>
      <c r="S442" s="44"/>
      <c r="T442" s="42"/>
      <c r="U442" s="42"/>
      <c r="V442" s="42"/>
      <c r="W442" s="42"/>
      <c r="X442" s="42"/>
      <c r="Y442" s="42"/>
    </row>
    <row r="443" ht="15.75" customHeight="1" spans="1:25" x14ac:dyDescent="0.25">
      <c r="A443" s="42"/>
      <c r="B443" s="42"/>
      <c r="C443" s="42"/>
      <c r="D443" s="42"/>
      <c r="E443" s="58"/>
      <c r="F443" s="43"/>
      <c r="G443" s="42"/>
      <c r="H443" s="42"/>
      <c r="I443" s="58"/>
      <c r="J443" s="59"/>
      <c r="K443" s="59"/>
      <c r="L443" s="59"/>
      <c r="M443" s="59"/>
      <c r="N443" s="59"/>
      <c r="O443" s="59"/>
      <c r="P443" s="59"/>
      <c r="Q443" s="59"/>
      <c r="R443" s="42"/>
      <c r="S443" s="44"/>
      <c r="T443" s="42"/>
      <c r="U443" s="42"/>
      <c r="V443" s="42"/>
      <c r="W443" s="42"/>
      <c r="X443" s="42"/>
      <c r="Y443" s="42"/>
    </row>
    <row r="444" ht="15.75" customHeight="1" spans="1:25" x14ac:dyDescent="0.25">
      <c r="A444" s="42"/>
      <c r="B444" s="42"/>
      <c r="C444" s="42"/>
      <c r="D444" s="42"/>
      <c r="E444" s="58"/>
      <c r="F444" s="43"/>
      <c r="G444" s="42"/>
      <c r="H444" s="42"/>
      <c r="I444" s="58"/>
      <c r="J444" s="59"/>
      <c r="K444" s="59"/>
      <c r="L444" s="59"/>
      <c r="M444" s="59"/>
      <c r="N444" s="59"/>
      <c r="O444" s="59"/>
      <c r="P444" s="59"/>
      <c r="Q444" s="59"/>
      <c r="R444" s="42"/>
      <c r="S444" s="44"/>
      <c r="T444" s="42"/>
      <c r="U444" s="42"/>
      <c r="V444" s="42"/>
      <c r="W444" s="42"/>
      <c r="X444" s="42"/>
      <c r="Y444" s="42"/>
    </row>
    <row r="445" ht="15.75" customHeight="1" spans="1:25" x14ac:dyDescent="0.25">
      <c r="A445" s="42"/>
      <c r="B445" s="42"/>
      <c r="C445" s="42"/>
      <c r="D445" s="42"/>
      <c r="E445" s="58"/>
      <c r="F445" s="43"/>
      <c r="G445" s="42"/>
      <c r="H445" s="42"/>
      <c r="I445" s="58"/>
      <c r="J445" s="59"/>
      <c r="K445" s="59"/>
      <c r="L445" s="59"/>
      <c r="M445" s="59"/>
      <c r="N445" s="59"/>
      <c r="O445" s="59"/>
      <c r="P445" s="59"/>
      <c r="Q445" s="59"/>
      <c r="R445" s="42"/>
      <c r="S445" s="44"/>
      <c r="T445" s="42"/>
      <c r="U445" s="42"/>
      <c r="V445" s="42"/>
      <c r="W445" s="42"/>
      <c r="X445" s="42"/>
      <c r="Y445" s="42"/>
    </row>
    <row r="446" ht="15.75" customHeight="1" spans="1:25" x14ac:dyDescent="0.25">
      <c r="A446" s="42"/>
      <c r="B446" s="42"/>
      <c r="C446" s="42"/>
      <c r="D446" s="42"/>
      <c r="E446" s="58"/>
      <c r="F446" s="43"/>
      <c r="G446" s="42"/>
      <c r="H446" s="42"/>
      <c r="I446" s="58"/>
      <c r="J446" s="59"/>
      <c r="K446" s="59"/>
      <c r="L446" s="59"/>
      <c r="M446" s="59"/>
      <c r="N446" s="59"/>
      <c r="O446" s="59"/>
      <c r="P446" s="59"/>
      <c r="Q446" s="59"/>
      <c r="R446" s="42"/>
      <c r="S446" s="44"/>
      <c r="T446" s="42"/>
      <c r="U446" s="42"/>
      <c r="V446" s="42"/>
      <c r="W446" s="42"/>
      <c r="X446" s="42"/>
      <c r="Y446" s="42"/>
    </row>
    <row r="447" ht="15.75" customHeight="1" spans="1:25" x14ac:dyDescent="0.25">
      <c r="A447" s="42"/>
      <c r="B447" s="42"/>
      <c r="C447" s="42"/>
      <c r="D447" s="42"/>
      <c r="E447" s="58"/>
      <c r="F447" s="43"/>
      <c r="G447" s="42"/>
      <c r="H447" s="42"/>
      <c r="I447" s="58"/>
      <c r="J447" s="59"/>
      <c r="K447" s="59"/>
      <c r="L447" s="59"/>
      <c r="M447" s="59"/>
      <c r="N447" s="59"/>
      <c r="O447" s="59"/>
      <c r="P447" s="59"/>
      <c r="Q447" s="59"/>
      <c r="R447" s="42"/>
      <c r="S447" s="44"/>
      <c r="T447" s="42"/>
      <c r="U447" s="42"/>
      <c r="V447" s="42"/>
      <c r="W447" s="42"/>
      <c r="X447" s="42"/>
      <c r="Y447" s="42"/>
    </row>
    <row r="448" ht="15.75" customHeight="1" spans="1:25" x14ac:dyDescent="0.25">
      <c r="A448" s="42"/>
      <c r="B448" s="42"/>
      <c r="C448" s="42"/>
      <c r="D448" s="42"/>
      <c r="E448" s="58"/>
      <c r="F448" s="43"/>
      <c r="G448" s="42"/>
      <c r="H448" s="42"/>
      <c r="I448" s="58"/>
      <c r="J448" s="59"/>
      <c r="K448" s="59"/>
      <c r="L448" s="59"/>
      <c r="M448" s="59"/>
      <c r="N448" s="59"/>
      <c r="O448" s="59"/>
      <c r="P448" s="59"/>
      <c r="Q448" s="59"/>
      <c r="R448" s="42"/>
      <c r="S448" s="44"/>
      <c r="T448" s="42"/>
      <c r="U448" s="42"/>
      <c r="V448" s="42"/>
      <c r="W448" s="42"/>
      <c r="X448" s="42"/>
      <c r="Y448" s="42"/>
    </row>
    <row r="449" ht="15.75" customHeight="1" spans="1:25" x14ac:dyDescent="0.25">
      <c r="A449" s="42"/>
      <c r="B449" s="42"/>
      <c r="C449" s="42"/>
      <c r="D449" s="42"/>
      <c r="E449" s="58"/>
      <c r="F449" s="43"/>
      <c r="G449" s="42"/>
      <c r="H449" s="42"/>
      <c r="I449" s="58"/>
      <c r="J449" s="59"/>
      <c r="K449" s="59"/>
      <c r="L449" s="59"/>
      <c r="M449" s="59"/>
      <c r="N449" s="59"/>
      <c r="O449" s="59"/>
      <c r="P449" s="59"/>
      <c r="Q449" s="59"/>
      <c r="R449" s="42"/>
      <c r="S449" s="44"/>
      <c r="T449" s="42"/>
      <c r="U449" s="42"/>
      <c r="V449" s="42"/>
      <c r="W449" s="42"/>
      <c r="X449" s="42"/>
      <c r="Y449" s="42"/>
    </row>
    <row r="450" ht="15.75" customHeight="1" spans="1:25" x14ac:dyDescent="0.25">
      <c r="A450" s="42"/>
      <c r="B450" s="42"/>
      <c r="C450" s="42"/>
      <c r="D450" s="42"/>
      <c r="E450" s="58"/>
      <c r="F450" s="43"/>
      <c r="G450" s="42"/>
      <c r="H450" s="42"/>
      <c r="I450" s="58"/>
      <c r="J450" s="59"/>
      <c r="K450" s="59"/>
      <c r="L450" s="59"/>
      <c r="M450" s="59"/>
      <c r="N450" s="59"/>
      <c r="O450" s="59"/>
      <c r="P450" s="59"/>
      <c r="Q450" s="59"/>
      <c r="R450" s="42"/>
      <c r="S450" s="44"/>
      <c r="T450" s="42"/>
      <c r="U450" s="42"/>
      <c r="V450" s="42"/>
      <c r="W450" s="42"/>
      <c r="X450" s="42"/>
      <c r="Y450" s="42"/>
    </row>
    <row r="451" ht="15.75" customHeight="1" spans="1:25" x14ac:dyDescent="0.25">
      <c r="A451" s="42"/>
      <c r="B451" s="42"/>
      <c r="C451" s="42"/>
      <c r="D451" s="42"/>
      <c r="E451" s="58"/>
      <c r="F451" s="43"/>
      <c r="G451" s="42"/>
      <c r="H451" s="42"/>
      <c r="I451" s="58"/>
      <c r="J451" s="59"/>
      <c r="K451" s="59"/>
      <c r="L451" s="59"/>
      <c r="M451" s="59"/>
      <c r="N451" s="59"/>
      <c r="O451" s="59"/>
      <c r="P451" s="59"/>
      <c r="Q451" s="59"/>
      <c r="R451" s="42"/>
      <c r="S451" s="44"/>
      <c r="T451" s="42"/>
      <c r="U451" s="42"/>
      <c r="V451" s="42"/>
      <c r="W451" s="42"/>
      <c r="X451" s="42"/>
      <c r="Y451" s="42"/>
    </row>
    <row r="452" ht="15.75" customHeight="1" spans="1:25" x14ac:dyDescent="0.25">
      <c r="A452" s="42"/>
      <c r="B452" s="42"/>
      <c r="C452" s="42"/>
      <c r="D452" s="42"/>
      <c r="E452" s="58"/>
      <c r="F452" s="43"/>
      <c r="G452" s="42"/>
      <c r="H452" s="42"/>
      <c r="I452" s="58"/>
      <c r="J452" s="59"/>
      <c r="K452" s="59"/>
      <c r="L452" s="59"/>
      <c r="M452" s="59"/>
      <c r="N452" s="59"/>
      <c r="O452" s="59"/>
      <c r="P452" s="59"/>
      <c r="Q452" s="59"/>
      <c r="R452" s="42"/>
      <c r="S452" s="44"/>
      <c r="T452" s="42"/>
      <c r="U452" s="42"/>
      <c r="V452" s="42"/>
      <c r="W452" s="42"/>
      <c r="X452" s="42"/>
      <c r="Y452" s="42"/>
    </row>
    <row r="453" ht="15.75" customHeight="1" spans="1:25" x14ac:dyDescent="0.25">
      <c r="A453" s="42"/>
      <c r="B453" s="42"/>
      <c r="C453" s="42"/>
      <c r="D453" s="42"/>
      <c r="E453" s="58"/>
      <c r="F453" s="43"/>
      <c r="G453" s="42"/>
      <c r="H453" s="42"/>
      <c r="I453" s="58"/>
      <c r="J453" s="59"/>
      <c r="K453" s="59"/>
      <c r="L453" s="59"/>
      <c r="M453" s="59"/>
      <c r="N453" s="59"/>
      <c r="O453" s="59"/>
      <c r="P453" s="59"/>
      <c r="Q453" s="59"/>
      <c r="R453" s="42"/>
      <c r="S453" s="44"/>
      <c r="T453" s="42"/>
      <c r="U453" s="42"/>
      <c r="V453" s="42"/>
      <c r="W453" s="42"/>
      <c r="X453" s="42"/>
      <c r="Y453" s="42"/>
    </row>
    <row r="454" ht="15.75" customHeight="1" spans="1:25" x14ac:dyDescent="0.25">
      <c r="A454" s="42"/>
      <c r="B454" s="42"/>
      <c r="C454" s="42"/>
      <c r="D454" s="42"/>
      <c r="E454" s="58"/>
      <c r="F454" s="43"/>
      <c r="G454" s="42"/>
      <c r="H454" s="42"/>
      <c r="I454" s="58"/>
      <c r="J454" s="59"/>
      <c r="K454" s="59"/>
      <c r="L454" s="59"/>
      <c r="M454" s="59"/>
      <c r="N454" s="59"/>
      <c r="O454" s="59"/>
      <c r="P454" s="59"/>
      <c r="Q454" s="59"/>
      <c r="R454" s="42"/>
      <c r="S454" s="44"/>
      <c r="T454" s="42"/>
      <c r="U454" s="42"/>
      <c r="V454" s="42"/>
      <c r="W454" s="42"/>
      <c r="X454" s="42"/>
      <c r="Y454" s="42"/>
    </row>
    <row r="455" ht="15.75" customHeight="1" spans="1:25" x14ac:dyDescent="0.25">
      <c r="A455" s="42"/>
      <c r="B455" s="42"/>
      <c r="C455" s="42"/>
      <c r="D455" s="42"/>
      <c r="E455" s="58"/>
      <c r="F455" s="43"/>
      <c r="G455" s="42"/>
      <c r="H455" s="42"/>
      <c r="I455" s="58"/>
      <c r="J455" s="59"/>
      <c r="K455" s="59"/>
      <c r="L455" s="59"/>
      <c r="M455" s="59"/>
      <c r="N455" s="59"/>
      <c r="O455" s="59"/>
      <c r="P455" s="59"/>
      <c r="Q455" s="59"/>
      <c r="R455" s="42"/>
      <c r="S455" s="44"/>
      <c r="T455" s="42"/>
      <c r="U455" s="42"/>
      <c r="V455" s="42"/>
      <c r="W455" s="42"/>
      <c r="X455" s="42"/>
      <c r="Y455" s="42"/>
    </row>
    <row r="456" ht="15.75" customHeight="1" spans="1:25" x14ac:dyDescent="0.25">
      <c r="A456" s="42"/>
      <c r="B456" s="42"/>
      <c r="C456" s="42"/>
      <c r="D456" s="42"/>
      <c r="E456" s="58"/>
      <c r="F456" s="43"/>
      <c r="G456" s="42"/>
      <c r="H456" s="42"/>
      <c r="I456" s="58"/>
      <c r="J456" s="59"/>
      <c r="K456" s="59"/>
      <c r="L456" s="59"/>
      <c r="M456" s="59"/>
      <c r="N456" s="59"/>
      <c r="O456" s="59"/>
      <c r="P456" s="59"/>
      <c r="Q456" s="59"/>
      <c r="R456" s="42"/>
      <c r="S456" s="44"/>
      <c r="T456" s="42"/>
      <c r="U456" s="42"/>
      <c r="V456" s="42"/>
      <c r="W456" s="42"/>
      <c r="X456" s="42"/>
      <c r="Y456" s="42"/>
    </row>
    <row r="457" ht="15.75" customHeight="1" spans="1:25" x14ac:dyDescent="0.25">
      <c r="A457" s="42"/>
      <c r="B457" s="42"/>
      <c r="C457" s="42"/>
      <c r="D457" s="42"/>
      <c r="E457" s="58"/>
      <c r="F457" s="43"/>
      <c r="G457" s="42"/>
      <c r="H457" s="42"/>
      <c r="I457" s="58"/>
      <c r="J457" s="59"/>
      <c r="K457" s="59"/>
      <c r="L457" s="59"/>
      <c r="M457" s="59"/>
      <c r="N457" s="59"/>
      <c r="O457" s="59"/>
      <c r="P457" s="59"/>
      <c r="Q457" s="59"/>
      <c r="R457" s="42"/>
      <c r="S457" s="44"/>
      <c r="T457" s="42"/>
      <c r="U457" s="42"/>
      <c r="V457" s="42"/>
      <c r="W457" s="42"/>
      <c r="X457" s="42"/>
      <c r="Y457" s="42"/>
    </row>
    <row r="458" ht="15.75" customHeight="1" spans="1:25" x14ac:dyDescent="0.25">
      <c r="A458" s="42"/>
      <c r="B458" s="42"/>
      <c r="C458" s="42"/>
      <c r="D458" s="42"/>
      <c r="E458" s="58"/>
      <c r="F458" s="43"/>
      <c r="G458" s="42"/>
      <c r="H458" s="42"/>
      <c r="I458" s="58"/>
      <c r="J458" s="59"/>
      <c r="K458" s="59"/>
      <c r="L458" s="59"/>
      <c r="M458" s="59"/>
      <c r="N458" s="59"/>
      <c r="O458" s="59"/>
      <c r="P458" s="59"/>
      <c r="Q458" s="59"/>
      <c r="R458" s="42"/>
      <c r="S458" s="44"/>
      <c r="T458" s="42"/>
      <c r="U458" s="42"/>
      <c r="V458" s="42"/>
      <c r="W458" s="42"/>
      <c r="X458" s="42"/>
      <c r="Y458" s="42"/>
    </row>
    <row r="459" ht="15.75" customHeight="1" spans="1:25" x14ac:dyDescent="0.25">
      <c r="A459" s="42"/>
      <c r="B459" s="42"/>
      <c r="C459" s="42"/>
      <c r="D459" s="42"/>
      <c r="E459" s="58"/>
      <c r="F459" s="43"/>
      <c r="G459" s="42"/>
      <c r="H459" s="42"/>
      <c r="I459" s="58"/>
      <c r="J459" s="59"/>
      <c r="K459" s="59"/>
      <c r="L459" s="59"/>
      <c r="M459" s="59"/>
      <c r="N459" s="59"/>
      <c r="O459" s="59"/>
      <c r="P459" s="59"/>
      <c r="Q459" s="59"/>
      <c r="R459" s="42"/>
      <c r="S459" s="44"/>
      <c r="T459" s="42"/>
      <c r="U459" s="42"/>
      <c r="V459" s="42"/>
      <c r="W459" s="42"/>
      <c r="X459" s="42"/>
      <c r="Y459" s="42"/>
    </row>
    <row r="460" ht="15.75" customHeight="1" spans="1:25" x14ac:dyDescent="0.25">
      <c r="A460" s="42"/>
      <c r="B460" s="42"/>
      <c r="C460" s="42"/>
      <c r="D460" s="42"/>
      <c r="E460" s="58"/>
      <c r="F460" s="43"/>
      <c r="G460" s="42"/>
      <c r="H460" s="42"/>
      <c r="I460" s="58"/>
      <c r="J460" s="59"/>
      <c r="K460" s="59"/>
      <c r="L460" s="59"/>
      <c r="M460" s="59"/>
      <c r="N460" s="59"/>
      <c r="O460" s="59"/>
      <c r="P460" s="59"/>
      <c r="Q460" s="59"/>
      <c r="R460" s="42"/>
      <c r="S460" s="44"/>
      <c r="T460" s="42"/>
      <c r="U460" s="42"/>
      <c r="V460" s="42"/>
      <c r="W460" s="42"/>
      <c r="X460" s="42"/>
      <c r="Y460" s="42"/>
    </row>
    <row r="461" ht="15.75" customHeight="1" spans="1:25" x14ac:dyDescent="0.25">
      <c r="A461" s="42"/>
      <c r="B461" s="42"/>
      <c r="C461" s="42"/>
      <c r="D461" s="42"/>
      <c r="E461" s="58"/>
      <c r="F461" s="43"/>
      <c r="G461" s="42"/>
      <c r="H461" s="42"/>
      <c r="I461" s="58"/>
      <c r="J461" s="59"/>
      <c r="K461" s="59"/>
      <c r="L461" s="59"/>
      <c r="M461" s="59"/>
      <c r="N461" s="59"/>
      <c r="O461" s="59"/>
      <c r="P461" s="59"/>
      <c r="Q461" s="59"/>
      <c r="R461" s="42"/>
      <c r="S461" s="44"/>
      <c r="T461" s="42"/>
      <c r="U461" s="42"/>
      <c r="V461" s="42"/>
      <c r="W461" s="42"/>
      <c r="X461" s="42"/>
      <c r="Y461" s="42"/>
    </row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G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May</vt:lpstr>
      <vt:lpstr>June</vt:lpstr>
      <vt:lpstr>July</vt:lpstr>
      <vt:lpstr>Augest</vt:lpstr>
      <vt:lpstr>October</vt:lpstr>
      <vt:lpstr>November</vt:lpstr>
      <vt:lpstr>December</vt:lpstr>
      <vt:lpstr>January</vt:lpstr>
      <vt:lpstr>February</vt:lpstr>
      <vt:lpstr>March</vt:lpstr>
      <vt:lpstr>April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ewis</cp:lastModifiedBy>
  <dcterms:created xsi:type="dcterms:W3CDTF">2026-05-11T10:55:22Z</dcterms:created>
  <dcterms:modified xsi:type="dcterms:W3CDTF">2026-05-11T10:55:22Z</dcterms:modified>
</cp:coreProperties>
</file>