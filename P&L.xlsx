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macbook/Desktop/001 ALE DMS/026 Gismo/Project Execution/001 Report Submission/May Submission/"/>
    </mc:Choice>
  </mc:AlternateContent>
  <xr:revisionPtr revIDLastSave="0" documentId="8_{22D5D8DC-6E72-8946-83DC-F251632585F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" i="2" l="1"/>
  <c r="M37" i="2"/>
  <c r="M34" i="2"/>
  <c r="M27" i="2"/>
  <c r="M21" i="2"/>
  <c r="M26" i="2"/>
  <c r="M25" i="2"/>
  <c r="M13" i="2"/>
  <c r="M17" i="2"/>
  <c r="M18" i="2"/>
  <c r="M12" i="2"/>
  <c r="M6" i="2"/>
  <c r="G68" i="2"/>
  <c r="G66" i="2"/>
  <c r="G69" i="2" s="1"/>
  <c r="G61" i="2"/>
  <c r="G35" i="2"/>
  <c r="G28" i="2"/>
  <c r="G16" i="2"/>
  <c r="G11" i="2"/>
  <c r="G18" i="2" s="1"/>
  <c r="G36" i="2" s="1"/>
  <c r="G62" i="2" s="1"/>
  <c r="G70" i="2" s="1"/>
  <c r="R35" i="1"/>
  <c r="R38" i="1" s="1"/>
  <c r="R27" i="1"/>
  <c r="R22" i="1"/>
  <c r="R16" i="1"/>
  <c r="R15" i="1"/>
  <c r="R26" i="1"/>
  <c r="R14" i="1"/>
  <c r="R18" i="1"/>
  <c r="R19" i="1"/>
  <c r="R13" i="1"/>
  <c r="R7" i="1"/>
  <c r="R28" i="1" l="1"/>
  <c r="R40" i="1" s="1"/>
</calcChain>
</file>

<file path=xl/sharedStrings.xml><?xml version="1.0" encoding="utf-8"?>
<sst xmlns="http://schemas.openxmlformats.org/spreadsheetml/2006/main" count="203" uniqueCount="114">
  <si>
    <t>Authentic Lanka Exports (Pvt) Ltd</t>
  </si>
  <si>
    <t>Profit &amp; Loss</t>
  </si>
  <si>
    <t>April 2026</t>
  </si>
  <si>
    <t>DHY</t>
  </si>
  <si>
    <t>Ordinary Income/Expense</t>
  </si>
  <si>
    <t>Income</t>
  </si>
  <si>
    <t>1001 · Coco Peat Sales</t>
  </si>
  <si>
    <t>1003 · Moringa Sale</t>
  </si>
  <si>
    <t>1003.1 · Moringa Powder Sale</t>
  </si>
  <si>
    <t>Total 1003 · Moringa Sale</t>
  </si>
  <si>
    <t>1010 · Dehydrated Sales</t>
  </si>
  <si>
    <t>1010.1 · Dehydrated Fruits</t>
  </si>
  <si>
    <t>1010.3 · Dehydrated Others</t>
  </si>
  <si>
    <t>Total 1010 · Dehydrated Sales</t>
  </si>
  <si>
    <t>1011 · Herbal Powder Sale (Other)</t>
  </si>
  <si>
    <t>1013 · Jack Fruits</t>
  </si>
  <si>
    <t>Total Income</t>
  </si>
  <si>
    <t>Cost of Goods Sold</t>
  </si>
  <si>
    <t>Gotukola.</t>
  </si>
  <si>
    <t>2100 · Raw Moringa Leaves</t>
  </si>
  <si>
    <t>2180 · Raw Fruits,  Vegetables &amp; Other</t>
  </si>
  <si>
    <t>2300 · Labour Salary</t>
  </si>
  <si>
    <t>2311 · DHY Salaries</t>
  </si>
  <si>
    <t>Total 2300 · Labour Salary</t>
  </si>
  <si>
    <t>2310 · Incentives</t>
  </si>
  <si>
    <t>2410 · Fuel Charges</t>
  </si>
  <si>
    <t>2420 · Packing Materials</t>
  </si>
  <si>
    <t>2430 · Wasting Expenses</t>
  </si>
  <si>
    <t>2480 · Transport</t>
  </si>
  <si>
    <t>2485 · Wood</t>
  </si>
  <si>
    <t>Total COGS</t>
  </si>
  <si>
    <t>Gross Profit</t>
  </si>
  <si>
    <t>Expense</t>
  </si>
  <si>
    <t>Testing Charges</t>
  </si>
  <si>
    <t>3004 · Staff Salaries &amp; Wages</t>
  </si>
  <si>
    <t>3005 · Factory Maintenance</t>
  </si>
  <si>
    <t>3405 · Travelling Expenses</t>
  </si>
  <si>
    <t>3505 · Staff Training</t>
  </si>
  <si>
    <t>3510 · Staff meals and Welfare</t>
  </si>
  <si>
    <t>3600 · Phase I &amp; II Interest Payment</t>
  </si>
  <si>
    <t>3608 · Electricity</t>
  </si>
  <si>
    <t>3610 · Water Bill</t>
  </si>
  <si>
    <t>3618 · Printing &amp; Stationary</t>
  </si>
  <si>
    <t>3619 · Postage and Delivery</t>
  </si>
  <si>
    <t>3905 · Repairs and Maintenance</t>
  </si>
  <si>
    <t>3910 · Factory Supplies</t>
  </si>
  <si>
    <t>3915 · Vehicle Maintenance</t>
  </si>
  <si>
    <t>3920 · Miscellaneous Expenses</t>
  </si>
  <si>
    <t>3980 · Bank Service Charges</t>
  </si>
  <si>
    <t>Total Expense</t>
  </si>
  <si>
    <t>Net Ordinary Income</t>
  </si>
  <si>
    <t>Other Income/Expense</t>
  </si>
  <si>
    <t>Other Income</t>
  </si>
  <si>
    <t>4010 · Other Income</t>
  </si>
  <si>
    <t>Total Other Income</t>
  </si>
  <si>
    <t>Other Expense</t>
  </si>
  <si>
    <t>Other Expenses- Sunshine COCO</t>
  </si>
  <si>
    <t>Total Other Expense</t>
  </si>
  <si>
    <t>Net Other Income</t>
  </si>
  <si>
    <t>Profit for the Year</t>
  </si>
  <si>
    <t>Mar</t>
  </si>
  <si>
    <t>Apr</t>
  </si>
  <si>
    <t>Leaf/fruit cost</t>
  </si>
  <si>
    <t>Rice Cost</t>
  </si>
  <si>
    <t>Garlic</t>
  </si>
  <si>
    <t>Ginger</t>
  </si>
  <si>
    <t>Pepper</t>
  </si>
  <si>
    <t>Teabag Cost</t>
  </si>
  <si>
    <t>Labours</t>
  </si>
  <si>
    <t>Wood</t>
  </si>
  <si>
    <t>Electrasity</t>
  </si>
  <si>
    <t>Water (200L)</t>
  </si>
  <si>
    <t xml:space="preserve">Bulk Packing </t>
  </si>
  <si>
    <t>Retail Packing</t>
  </si>
  <si>
    <t>Transport to colombo</t>
  </si>
  <si>
    <t xml:space="preserve">Transport from Usgala to sooriSoori </t>
  </si>
  <si>
    <t>Colombo to H/O</t>
  </si>
  <si>
    <t>Machine Maintenance</t>
  </si>
  <si>
    <t>Management</t>
  </si>
  <si>
    <t>Distribution Cost</t>
  </si>
  <si>
    <t>Digital Marketing cost</t>
  </si>
  <si>
    <t>Fixed Cost</t>
  </si>
  <si>
    <t>Cost of Production</t>
  </si>
  <si>
    <t>Revenue</t>
  </si>
  <si>
    <t>Porridge Dellers Packs</t>
  </si>
  <si>
    <t>Porridge Mixture Retail  Pack (With Rice)</t>
  </si>
  <si>
    <t>Tea Bags Packs</t>
  </si>
  <si>
    <t>Powder Packs</t>
  </si>
  <si>
    <t>Bulk Production 01</t>
  </si>
  <si>
    <t>Bulk Production -  Soursup</t>
  </si>
  <si>
    <t>Porridge Supply for Hotels and Factories</t>
  </si>
  <si>
    <t>Monthly Revenue</t>
  </si>
  <si>
    <t>Profit</t>
  </si>
  <si>
    <t>Misc</t>
  </si>
  <si>
    <t>March 2026</t>
  </si>
  <si>
    <t>1005 · Curry Leaves  &amp; Powder Sales</t>
  </si>
  <si>
    <t>1007 · Fiber</t>
  </si>
  <si>
    <t>2150 · Raw Curry Leaves</t>
  </si>
  <si>
    <t>2200 · Purchase of Husk</t>
  </si>
  <si>
    <t>2250 · Medicinal Herbs Purchasing</t>
  </si>
  <si>
    <t>2312 · COCO Salaries</t>
  </si>
  <si>
    <t>2415 · Purchase of Chemicals</t>
  </si>
  <si>
    <t>3006 · Allowances</t>
  </si>
  <si>
    <t>3008 · EPF Expenses</t>
  </si>
  <si>
    <t>3009 · ETF Expenses</t>
  </si>
  <si>
    <t>3010 · Certification  Expenses</t>
  </si>
  <si>
    <t>3015 · Consultancy Fee</t>
  </si>
  <si>
    <t>3400 · Travelling</t>
  </si>
  <si>
    <t>3616 · Telephone</t>
  </si>
  <si>
    <t>3620 · Advertising and Promotion</t>
  </si>
  <si>
    <t>3922 · Other Expenses</t>
  </si>
  <si>
    <t>3950 · Office Expense</t>
  </si>
  <si>
    <t>Planned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</si>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</sst>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6" formatCode="#,##0.00;\-#,##0.00"/>
    <numFmt numFmtId="167" formatCode="_(* #,##0_);_(* \(#,##0\);_(* &quot;-&quot;??_);_(@_)"/>
    <numFmt numFmtId="168" formatCode="#,##0.0_);\(#,##0.0\)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63"/>
      <name val="Arial"/>
      <family val="2"/>
    </font>
    <font>
      <b/>
      <sz val="10"/>
      <color indexed="63"/>
      <name val="Arial"/>
      <family val="2"/>
    </font>
    <font>
      <b/>
      <sz val="14"/>
      <color indexed="63"/>
      <name val="Arial"/>
      <family val="2"/>
    </font>
    <font>
      <sz val="10"/>
      <color indexed="63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7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49" fontId="3" fillId="2" borderId="0" xfId="1" applyNumberFormat="1" applyFont="1" applyFill="1"/>
    <xf numFmtId="49" fontId="4" fillId="2" borderId="0" xfId="1" applyNumberFormat="1" applyFont="1" applyFill="1"/>
    <xf numFmtId="49" fontId="2" fillId="2" borderId="0" xfId="1" applyNumberFormat="1" applyFill="1"/>
    <xf numFmtId="49" fontId="5" fillId="2" borderId="0" xfId="1" applyNumberFormat="1" applyFont="1" applyFill="1"/>
    <xf numFmtId="49" fontId="4" fillId="2" borderId="7" xfId="1" applyNumberFormat="1" applyFont="1" applyFill="1" applyBorder="1" applyAlignment="1">
      <alignment horizontal="center"/>
    </xf>
    <xf numFmtId="49" fontId="4" fillId="2" borderId="8" xfId="1" applyNumberFormat="1" applyFont="1" applyFill="1" applyBorder="1" applyAlignment="1">
      <alignment horizontal="center"/>
    </xf>
    <xf numFmtId="49" fontId="4" fillId="2" borderId="9" xfId="1" applyNumberFormat="1" applyFont="1" applyFill="1" applyBorder="1" applyAlignment="1">
      <alignment horizontal="center"/>
    </xf>
    <xf numFmtId="49" fontId="4" fillId="2" borderId="3" xfId="1" applyNumberFormat="1" applyFont="1" applyFill="1" applyBorder="1" applyAlignment="1">
      <alignment horizontal="center"/>
    </xf>
    <xf numFmtId="49" fontId="4" fillId="2" borderId="10" xfId="1" applyNumberFormat="1" applyFont="1" applyFill="1" applyBorder="1"/>
    <xf numFmtId="49" fontId="4" fillId="2" borderId="11" xfId="1" applyNumberFormat="1" applyFont="1" applyFill="1" applyBorder="1"/>
    <xf numFmtId="166" fontId="6" fillId="2" borderId="4" xfId="1" applyNumberFormat="1" applyFont="1" applyFill="1" applyBorder="1"/>
    <xf numFmtId="166" fontId="6" fillId="2" borderId="5" xfId="1" applyNumberFormat="1" applyFont="1" applyFill="1" applyBorder="1"/>
    <xf numFmtId="166" fontId="6" fillId="2" borderId="2" xfId="1" applyNumberFormat="1" applyFont="1" applyFill="1" applyBorder="1"/>
    <xf numFmtId="166" fontId="4" fillId="2" borderId="6" xfId="1" applyNumberFormat="1" applyFont="1" applyFill="1" applyBorder="1"/>
    <xf numFmtId="0" fontId="4" fillId="2" borderId="10" xfId="1" applyFont="1" applyFill="1" applyBorder="1"/>
    <xf numFmtId="0" fontId="4" fillId="2" borderId="0" xfId="1" applyFont="1" applyFill="1"/>
    <xf numFmtId="0" fontId="4" fillId="2" borderId="11" xfId="1" applyFont="1" applyFill="1" applyBorder="1"/>
    <xf numFmtId="0" fontId="2" fillId="2" borderId="4" xfId="1" applyFill="1" applyBorder="1"/>
    <xf numFmtId="0" fontId="0" fillId="2" borderId="12" xfId="0" applyFill="1" applyBorder="1"/>
    <xf numFmtId="0" fontId="0" fillId="2" borderId="1" xfId="0" applyFill="1" applyBorder="1"/>
    <xf numFmtId="0" fontId="0" fillId="2" borderId="13" xfId="0" applyFill="1" applyBorder="1"/>
    <xf numFmtId="0" fontId="0" fillId="2" borderId="5" xfId="0" applyFill="1" applyBorder="1"/>
    <xf numFmtId="0" fontId="0" fillId="0" borderId="14" xfId="0" applyBorder="1"/>
    <xf numFmtId="167" fontId="0" fillId="0" borderId="14" xfId="2" applyNumberFormat="1" applyFont="1" applyFill="1" applyBorder="1" applyAlignment="1">
      <alignment horizontal="center"/>
    </xf>
    <xf numFmtId="167" fontId="0" fillId="0" borderId="14" xfId="0" applyNumberFormat="1" applyBorder="1" applyAlignment="1">
      <alignment horizontal="right"/>
    </xf>
    <xf numFmtId="0" fontId="8" fillId="0" borderId="14" xfId="0" applyFont="1" applyBorder="1"/>
    <xf numFmtId="0" fontId="0" fillId="0" borderId="14" xfId="0" applyBorder="1" applyAlignment="1">
      <alignment horizontal="right"/>
    </xf>
    <xf numFmtId="167" fontId="1" fillId="0" borderId="14" xfId="2" applyNumberFormat="1" applyFont="1" applyFill="1" applyBorder="1"/>
    <xf numFmtId="166" fontId="0" fillId="0" borderId="0" xfId="0" applyNumberFormat="1"/>
    <xf numFmtId="166" fontId="6" fillId="3" borderId="4" xfId="1" applyNumberFormat="1" applyFont="1" applyFill="1" applyBorder="1"/>
    <xf numFmtId="166" fontId="6" fillId="3" borderId="5" xfId="1" applyNumberFormat="1" applyFont="1" applyFill="1" applyBorder="1"/>
    <xf numFmtId="0" fontId="0" fillId="0" borderId="15" xfId="0" applyFill="1" applyBorder="1"/>
    <xf numFmtId="167" fontId="0" fillId="0" borderId="14" xfId="0" applyNumberFormat="1" applyFill="1" applyBorder="1" applyAlignment="1">
      <alignment horizontal="right"/>
    </xf>
    <xf numFmtId="168" fontId="0" fillId="0" borderId="14" xfId="0" applyNumberFormat="1" applyBorder="1"/>
    <xf numFmtId="39" fontId="0" fillId="0" borderId="14" xfId="0" applyNumberFormat="1" applyBorder="1"/>
    <xf numFmtId="166" fontId="0" fillId="0" borderId="14" xfId="0" applyNumberFormat="1" applyBorder="1"/>
    <xf numFmtId="49" fontId="3" fillId="2" borderId="0" xfId="0" applyNumberFormat="1" applyFont="1" applyFill="1"/>
    <xf numFmtId="49" fontId="4" fillId="2" borderId="0" xfId="0" applyNumberFormat="1" applyFont="1" applyFill="1"/>
    <xf numFmtId="49" fontId="0" fillId="2" borderId="0" xfId="0" applyNumberFormat="1" applyFill="1"/>
    <xf numFmtId="49" fontId="5" fillId="2" borderId="0" xfId="0" applyNumberFormat="1" applyFont="1" applyFill="1"/>
    <xf numFmtId="49" fontId="4" fillId="2" borderId="7" xfId="0" applyNumberFormat="1" applyFont="1" applyFill="1" applyBorder="1" applyAlignment="1">
      <alignment horizontal="center"/>
    </xf>
    <xf numFmtId="49" fontId="4" fillId="2" borderId="8" xfId="0" applyNumberFormat="1" applyFont="1" applyFill="1" applyBorder="1" applyAlignment="1">
      <alignment horizontal="center"/>
    </xf>
    <xf numFmtId="49" fontId="4" fillId="2" borderId="9" xfId="0" applyNumberFormat="1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49" fontId="4" fillId="2" borderId="10" xfId="0" applyNumberFormat="1" applyFont="1" applyFill="1" applyBorder="1"/>
    <xf numFmtId="49" fontId="4" fillId="2" borderId="11" xfId="0" applyNumberFormat="1" applyFont="1" applyFill="1" applyBorder="1"/>
    <xf numFmtId="166" fontId="6" fillId="2" borderId="4" xfId="0" applyNumberFormat="1" applyFont="1" applyFill="1" applyBorder="1"/>
    <xf numFmtId="166" fontId="6" fillId="2" borderId="5" xfId="0" applyNumberFormat="1" applyFont="1" applyFill="1" applyBorder="1"/>
    <xf numFmtId="166" fontId="6" fillId="2" borderId="2" xfId="0" applyNumberFormat="1" applyFont="1" applyFill="1" applyBorder="1"/>
    <xf numFmtId="166" fontId="4" fillId="2" borderId="6" xfId="0" applyNumberFormat="1" applyFont="1" applyFill="1" applyBorder="1"/>
    <xf numFmtId="0" fontId="4" fillId="2" borderId="0" xfId="0" applyFont="1" applyFill="1"/>
    <xf numFmtId="0" fontId="4" fillId="0" borderId="0" xfId="0" applyFont="1"/>
    <xf numFmtId="0" fontId="4" fillId="2" borderId="10" xfId="0" applyFont="1" applyFill="1" applyBorder="1"/>
    <xf numFmtId="0" fontId="4" fillId="2" borderId="11" xfId="0" applyFont="1" applyFill="1" applyBorder="1"/>
    <xf numFmtId="0" fontId="0" fillId="2" borderId="4" xfId="0" applyFill="1" applyBorder="1"/>
    <xf numFmtId="0" fontId="4" fillId="2" borderId="12" xfId="0" applyFont="1" applyFill="1" applyBorder="1"/>
    <xf numFmtId="0" fontId="4" fillId="2" borderId="1" xfId="0" applyFont="1" applyFill="1" applyBorder="1"/>
    <xf numFmtId="0" fontId="4" fillId="2" borderId="13" xfId="0" applyFont="1" applyFill="1" applyBorder="1"/>
    <xf numFmtId="166" fontId="6" fillId="3" borderId="4" xfId="0" applyNumberFormat="1" applyFont="1" applyFill="1" applyBorder="1"/>
    <xf numFmtId="166" fontId="6" fillId="3" borderId="5" xfId="0" applyNumberFormat="1" applyFont="1" applyFill="1" applyBorder="1"/>
    <xf numFmtId="0" fontId="0" fillId="0" borderId="14" xfId="0" applyFill="1" applyBorder="1"/>
    <xf numFmtId="167" fontId="0" fillId="0" borderId="14" xfId="0" applyNumberFormat="1" applyBorder="1"/>
    <xf numFmtId="43" fontId="0" fillId="0" borderId="14" xfId="0" applyNumberFormat="1" applyBorder="1"/>
    <xf numFmtId="49" fontId="4" fillId="2" borderId="10" xfId="1" applyNumberFormat="1" applyFont="1" applyFill="1" applyBorder="1" applyAlignment="1">
      <alignment horizontal="center"/>
    </xf>
    <xf numFmtId="49" fontId="4" fillId="2" borderId="0" xfId="1" applyNumberFormat="1" applyFont="1" applyFill="1" applyBorder="1" applyAlignment="1">
      <alignment horizontal="center"/>
    </xf>
    <xf numFmtId="49" fontId="4" fillId="2" borderId="11" xfId="1" applyNumberFormat="1" applyFont="1" applyFill="1" applyBorder="1" applyAlignment="1">
      <alignment horizontal="center"/>
    </xf>
    <xf numFmtId="49" fontId="4" fillId="2" borderId="4" xfId="1" applyNumberFormat="1" applyFont="1" applyFill="1" applyBorder="1" applyAlignment="1">
      <alignment horizontal="center"/>
    </xf>
    <xf numFmtId="167" fontId="0" fillId="0" borderId="16" xfId="2" applyNumberFormat="1" applyFont="1" applyFill="1" applyBorder="1" applyAlignment="1">
      <alignment horizontal="center"/>
    </xf>
    <xf numFmtId="167" fontId="0" fillId="0" borderId="17" xfId="2" applyNumberFormat="1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tabSelected="1" topLeftCell="L3" zoomScale="111" workbookViewId="0">
      <selection activeCell="U9" sqref="U9"/>
    </sheetView>
  </sheetViews>
  <sheetFormatPr baseColWidth="10" defaultColWidth="8.83203125" defaultRowHeight="15" x14ac:dyDescent="0.2"/>
  <cols>
    <col min="1" max="7" width="0" hidden="1" customWidth="1"/>
    <col min="8" max="8" width="30.1640625" hidden="1" customWidth="1"/>
    <col min="9" max="9" width="20.5" hidden="1" customWidth="1"/>
    <col min="10" max="11" width="2.83203125" hidden="1" customWidth="1"/>
    <col min="13" max="13" width="4.6640625" customWidth="1"/>
    <col min="14" max="14" width="19.33203125" customWidth="1"/>
    <col min="15" max="17" width="10.5" customWidth="1"/>
    <col min="18" max="18" width="12.1640625" bestFit="1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ht="16" x14ac:dyDescent="0.2">
      <c r="A2" s="1"/>
      <c r="B2" s="1"/>
      <c r="C2" s="2" t="s">
        <v>0</v>
      </c>
      <c r="D2" s="3"/>
      <c r="E2" s="3"/>
      <c r="F2" s="3"/>
      <c r="G2" s="3"/>
      <c r="H2" s="3"/>
      <c r="I2" s="4"/>
      <c r="J2" s="1"/>
      <c r="K2" s="1"/>
    </row>
    <row r="3" spans="1:18" ht="18" x14ac:dyDescent="0.2">
      <c r="A3" s="1"/>
      <c r="B3" s="1"/>
      <c r="C3" s="5" t="s">
        <v>1</v>
      </c>
      <c r="D3" s="3"/>
      <c r="E3" s="3"/>
      <c r="F3" s="3"/>
      <c r="G3" s="3"/>
      <c r="H3" s="3"/>
      <c r="I3" s="4"/>
      <c r="J3" s="1"/>
      <c r="K3" s="1"/>
    </row>
    <row r="4" spans="1:18" ht="16" thickBot="1" x14ac:dyDescent="0.25">
      <c r="A4" s="1"/>
      <c r="B4" s="1"/>
      <c r="C4" s="3" t="s">
        <v>2</v>
      </c>
      <c r="D4" s="3"/>
      <c r="E4" s="3"/>
      <c r="F4" s="3"/>
      <c r="G4" s="3"/>
      <c r="H4" s="3"/>
      <c r="I4" s="4"/>
      <c r="J4" s="1"/>
      <c r="K4" s="1"/>
    </row>
    <row r="5" spans="1:18" ht="16" thickBot="1" x14ac:dyDescent="0.25">
      <c r="A5" s="1"/>
      <c r="B5" s="1"/>
      <c r="C5" s="6"/>
      <c r="D5" s="7"/>
      <c r="E5" s="7"/>
      <c r="F5" s="7"/>
      <c r="G5" s="7"/>
      <c r="H5" s="8"/>
      <c r="I5" s="9" t="s">
        <v>3</v>
      </c>
      <c r="J5" s="1"/>
      <c r="K5" s="1"/>
      <c r="M5" s="24"/>
      <c r="N5" s="24"/>
      <c r="O5" s="71" t="s">
        <v>60</v>
      </c>
      <c r="P5" s="72"/>
      <c r="Q5" s="71" t="s">
        <v>61</v>
      </c>
      <c r="R5" s="72"/>
    </row>
    <row r="6" spans="1:18" ht="16" thickTop="1" x14ac:dyDescent="0.2">
      <c r="A6" s="1"/>
      <c r="B6" s="1"/>
      <c r="C6" s="67"/>
      <c r="D6" s="68"/>
      <c r="E6" s="68"/>
      <c r="F6" s="68"/>
      <c r="G6" s="68"/>
      <c r="H6" s="69"/>
      <c r="I6" s="70"/>
      <c r="J6" s="1"/>
      <c r="K6" s="1"/>
      <c r="M6" s="24"/>
      <c r="N6" s="24"/>
      <c r="O6" s="25" t="s">
        <v>112</v>
      </c>
      <c r="P6" s="25" t="s">
        <v>113</v>
      </c>
      <c r="Q6" s="25" t="s">
        <v>112</v>
      </c>
      <c r="R6" s="25" t="s">
        <v>113</v>
      </c>
    </row>
    <row r="7" spans="1:18" x14ac:dyDescent="0.2">
      <c r="A7" s="1"/>
      <c r="B7" s="1"/>
      <c r="C7" s="10"/>
      <c r="D7" s="3" t="s">
        <v>4</v>
      </c>
      <c r="E7" s="3"/>
      <c r="F7" s="3"/>
      <c r="G7" s="3"/>
      <c r="H7" s="11"/>
      <c r="I7" s="12"/>
      <c r="J7" s="1"/>
      <c r="K7" s="1"/>
      <c r="M7" s="24">
        <v>1</v>
      </c>
      <c r="N7" s="24" t="s">
        <v>62</v>
      </c>
      <c r="O7" s="26">
        <v>1554440.9431578948</v>
      </c>
      <c r="P7" s="26">
        <v>167550</v>
      </c>
      <c r="Q7" s="26">
        <v>2023185.3642105262</v>
      </c>
      <c r="R7" s="36">
        <f>I21+I22+I23</f>
        <v>607460</v>
      </c>
    </row>
    <row r="8" spans="1:18" x14ac:dyDescent="0.2">
      <c r="A8" s="1"/>
      <c r="B8" s="1"/>
      <c r="C8" s="10"/>
      <c r="D8" s="3"/>
      <c r="E8" s="3"/>
      <c r="F8" s="3" t="s">
        <v>5</v>
      </c>
      <c r="G8" s="3"/>
      <c r="H8" s="11"/>
      <c r="I8" s="12"/>
      <c r="J8" s="1"/>
      <c r="K8" s="1"/>
      <c r="M8" s="24">
        <v>2</v>
      </c>
      <c r="N8" s="24" t="s">
        <v>63</v>
      </c>
      <c r="O8" s="26">
        <v>3418.8</v>
      </c>
      <c r="P8" s="26">
        <v>0</v>
      </c>
      <c r="Q8" s="26">
        <v>5728.8</v>
      </c>
      <c r="R8" s="34">
        <v>0</v>
      </c>
    </row>
    <row r="9" spans="1:18" x14ac:dyDescent="0.2">
      <c r="A9" s="1"/>
      <c r="B9" s="1"/>
      <c r="C9" s="10"/>
      <c r="D9" s="3"/>
      <c r="E9" s="3"/>
      <c r="F9" s="3"/>
      <c r="G9" s="3" t="s">
        <v>6</v>
      </c>
      <c r="H9" s="11"/>
      <c r="I9" s="12">
        <v>0</v>
      </c>
      <c r="J9" s="1"/>
      <c r="K9" s="1"/>
      <c r="M9" s="24">
        <v>3</v>
      </c>
      <c r="N9" s="24" t="s">
        <v>64</v>
      </c>
      <c r="O9" s="26">
        <v>13692.215460526315</v>
      </c>
      <c r="P9" s="26">
        <v>0</v>
      </c>
      <c r="Q9" s="26">
        <v>18387.240131578947</v>
      </c>
      <c r="R9" s="34">
        <v>0</v>
      </c>
    </row>
    <row r="10" spans="1:18" x14ac:dyDescent="0.2">
      <c r="A10" s="1"/>
      <c r="B10" s="1"/>
      <c r="C10" s="10"/>
      <c r="D10" s="3"/>
      <c r="E10" s="3"/>
      <c r="F10" s="3"/>
      <c r="G10" s="3" t="s">
        <v>7</v>
      </c>
      <c r="H10" s="11"/>
      <c r="I10" s="12"/>
      <c r="J10" s="1"/>
      <c r="K10" s="1"/>
      <c r="M10" s="24">
        <v>4</v>
      </c>
      <c r="N10" s="24" t="s">
        <v>65</v>
      </c>
      <c r="O10" s="26">
        <v>49010.366447368418</v>
      </c>
      <c r="P10" s="26">
        <v>0</v>
      </c>
      <c r="Q10" s="26">
        <v>67455.777631578938</v>
      </c>
      <c r="R10" s="34">
        <v>0</v>
      </c>
    </row>
    <row r="11" spans="1:18" ht="16" thickBot="1" x14ac:dyDescent="0.25">
      <c r="A11" s="1"/>
      <c r="B11" s="1"/>
      <c r="C11" s="10"/>
      <c r="D11" s="3"/>
      <c r="E11" s="3"/>
      <c r="F11" s="3"/>
      <c r="G11" s="3"/>
      <c r="H11" s="11" t="s">
        <v>8</v>
      </c>
      <c r="I11" s="13">
        <v>878212.5</v>
      </c>
      <c r="J11" s="1"/>
      <c r="K11" s="1"/>
      <c r="M11" s="24">
        <v>5</v>
      </c>
      <c r="N11" s="24" t="s">
        <v>66</v>
      </c>
      <c r="O11" s="26">
        <v>54904.836842105258</v>
      </c>
      <c r="P11" s="26">
        <v>0</v>
      </c>
      <c r="Q11" s="26">
        <v>73776.810526315792</v>
      </c>
      <c r="R11" s="34">
        <v>0</v>
      </c>
    </row>
    <row r="12" spans="1:18" x14ac:dyDescent="0.2">
      <c r="A12" s="1"/>
      <c r="B12" s="1"/>
      <c r="C12" s="10"/>
      <c r="D12" s="3"/>
      <c r="E12" s="3"/>
      <c r="F12" s="3"/>
      <c r="G12" s="3" t="s">
        <v>9</v>
      </c>
      <c r="H12" s="11"/>
      <c r="I12" s="12">
        <v>878212.5</v>
      </c>
      <c r="J12" s="1"/>
      <c r="K12" s="1"/>
      <c r="M12" s="24">
        <v>6</v>
      </c>
      <c r="N12" s="24" t="s">
        <v>67</v>
      </c>
      <c r="O12" s="26">
        <v>8625</v>
      </c>
      <c r="P12" s="26">
        <v>0</v>
      </c>
      <c r="Q12" s="26">
        <v>14250</v>
      </c>
      <c r="R12" s="34">
        <v>0</v>
      </c>
    </row>
    <row r="13" spans="1:18" x14ac:dyDescent="0.2">
      <c r="A13" s="1"/>
      <c r="B13" s="1"/>
      <c r="C13" s="10"/>
      <c r="D13" s="3"/>
      <c r="E13" s="3"/>
      <c r="F13" s="3"/>
      <c r="G13" s="3" t="s">
        <v>10</v>
      </c>
      <c r="H13" s="11"/>
      <c r="I13" s="12"/>
      <c r="J13" s="1"/>
      <c r="K13" s="1"/>
      <c r="M13" s="24">
        <v>7</v>
      </c>
      <c r="N13" s="24" t="s">
        <v>68</v>
      </c>
      <c r="O13" s="26">
        <v>467469.97894736839</v>
      </c>
      <c r="P13" s="26">
        <v>292881</v>
      </c>
      <c r="Q13" s="26">
        <v>611880.50526315789</v>
      </c>
      <c r="R13" s="37">
        <f>I25</f>
        <v>222900</v>
      </c>
    </row>
    <row r="14" spans="1:18" x14ac:dyDescent="0.2">
      <c r="A14" s="1"/>
      <c r="B14" s="1"/>
      <c r="C14" s="10"/>
      <c r="D14" s="3"/>
      <c r="E14" s="3"/>
      <c r="F14" s="3"/>
      <c r="G14" s="3"/>
      <c r="H14" s="11" t="s">
        <v>11</v>
      </c>
      <c r="I14" s="12">
        <v>11000</v>
      </c>
      <c r="J14" s="1"/>
      <c r="K14" s="1"/>
      <c r="M14" s="24">
        <v>8</v>
      </c>
      <c r="N14" s="24" t="s">
        <v>69</v>
      </c>
      <c r="O14" s="26">
        <v>56607.246315789474</v>
      </c>
      <c r="P14" s="26">
        <v>8500</v>
      </c>
      <c r="Q14" s="26">
        <v>74004.088421052627</v>
      </c>
      <c r="R14" s="37">
        <f>I32</f>
        <v>12000</v>
      </c>
    </row>
    <row r="15" spans="1:18" ht="16" thickBot="1" x14ac:dyDescent="0.25">
      <c r="A15" s="1"/>
      <c r="B15" s="1"/>
      <c r="C15" s="10"/>
      <c r="D15" s="3"/>
      <c r="E15" s="3"/>
      <c r="F15" s="3"/>
      <c r="G15" s="3"/>
      <c r="H15" s="11" t="s">
        <v>12</v>
      </c>
      <c r="I15" s="13">
        <v>176300</v>
      </c>
      <c r="J15" s="1"/>
      <c r="K15" s="1"/>
      <c r="M15" s="24">
        <v>9</v>
      </c>
      <c r="N15" s="24" t="s">
        <v>70</v>
      </c>
      <c r="O15" s="26">
        <v>47955.831578947371</v>
      </c>
      <c r="P15" s="26"/>
      <c r="Q15" s="26">
        <v>62240.042105263157</v>
      </c>
      <c r="R15" s="37">
        <f>I43</f>
        <v>58161.51</v>
      </c>
    </row>
    <row r="16" spans="1:18" x14ac:dyDescent="0.2">
      <c r="A16" s="1"/>
      <c r="B16" s="1"/>
      <c r="C16" s="10"/>
      <c r="D16" s="3"/>
      <c r="E16" s="3"/>
      <c r="F16" s="3"/>
      <c r="G16" s="3" t="s">
        <v>13</v>
      </c>
      <c r="H16" s="11"/>
      <c r="I16" s="12">
        <v>187300</v>
      </c>
      <c r="J16" s="1"/>
      <c r="K16" s="1"/>
      <c r="M16" s="24">
        <v>10</v>
      </c>
      <c r="N16" s="24" t="s">
        <v>71</v>
      </c>
      <c r="O16" s="26">
        <v>5183.8349473684211</v>
      </c>
      <c r="P16" s="26"/>
      <c r="Q16" s="26">
        <v>6865.519157894737</v>
      </c>
      <c r="R16" s="37">
        <f>I44</f>
        <v>47200.52</v>
      </c>
    </row>
    <row r="17" spans="1:18" x14ac:dyDescent="0.2">
      <c r="A17" s="1"/>
      <c r="B17" s="1"/>
      <c r="C17" s="10"/>
      <c r="D17" s="3"/>
      <c r="E17" s="3"/>
      <c r="F17" s="3"/>
      <c r="G17" s="3" t="s">
        <v>14</v>
      </c>
      <c r="H17" s="11"/>
      <c r="I17" s="12">
        <v>7000</v>
      </c>
      <c r="J17" s="1"/>
      <c r="K17" s="1"/>
      <c r="M17" s="24">
        <v>11</v>
      </c>
      <c r="N17" s="24" t="s">
        <v>72</v>
      </c>
      <c r="O17" s="26">
        <v>5485.726315789474</v>
      </c>
      <c r="P17" s="26"/>
      <c r="Q17" s="26">
        <v>7337.1298245614034</v>
      </c>
      <c r="R17" s="24"/>
    </row>
    <row r="18" spans="1:18" ht="16" thickBot="1" x14ac:dyDescent="0.25">
      <c r="A18" s="1"/>
      <c r="B18" s="1"/>
      <c r="C18" s="10"/>
      <c r="D18" s="3"/>
      <c r="E18" s="3"/>
      <c r="F18" s="3"/>
      <c r="G18" s="3" t="s">
        <v>15</v>
      </c>
      <c r="H18" s="11"/>
      <c r="I18" s="13">
        <v>1500</v>
      </c>
      <c r="J18" s="1"/>
      <c r="K18" s="1"/>
      <c r="M18" s="24">
        <v>12</v>
      </c>
      <c r="N18" s="24" t="s">
        <v>73</v>
      </c>
      <c r="O18" s="26">
        <v>73956.725146198834</v>
      </c>
      <c r="P18" s="26">
        <v>15620</v>
      </c>
      <c r="Q18" s="26">
        <v>104156.72514619883</v>
      </c>
      <c r="R18" s="37">
        <f>I29</f>
        <v>49140</v>
      </c>
    </row>
    <row r="19" spans="1:18" x14ac:dyDescent="0.2">
      <c r="A19" s="1"/>
      <c r="B19" s="1"/>
      <c r="C19" s="10"/>
      <c r="D19" s="3"/>
      <c r="E19" s="3"/>
      <c r="F19" s="3" t="s">
        <v>16</v>
      </c>
      <c r="G19" s="3"/>
      <c r="H19" s="11"/>
      <c r="I19" s="12">
        <v>1074012.5</v>
      </c>
      <c r="J19" s="1"/>
      <c r="K19" s="1"/>
      <c r="M19" s="24">
        <v>13</v>
      </c>
      <c r="N19" s="24" t="s">
        <v>74</v>
      </c>
      <c r="O19" s="26">
        <v>101219.47368421052</v>
      </c>
      <c r="P19" s="26">
        <v>16830</v>
      </c>
      <c r="Q19" s="26">
        <v>133798.42105263157</v>
      </c>
      <c r="R19" s="36">
        <f>+I28+I31</f>
        <v>69660</v>
      </c>
    </row>
    <row r="20" spans="1:18" x14ac:dyDescent="0.2">
      <c r="A20" s="1"/>
      <c r="B20" s="1"/>
      <c r="C20" s="10"/>
      <c r="D20" s="3"/>
      <c r="E20" s="3"/>
      <c r="F20" s="3" t="s">
        <v>17</v>
      </c>
      <c r="G20" s="3"/>
      <c r="H20" s="11"/>
      <c r="I20" s="12"/>
      <c r="J20" s="1"/>
      <c r="K20" s="1"/>
      <c r="M20" s="24">
        <v>14</v>
      </c>
      <c r="N20" s="24" t="s">
        <v>75</v>
      </c>
      <c r="O20" s="26">
        <v>58961.473684210527</v>
      </c>
      <c r="P20" s="26"/>
      <c r="Q20" s="26">
        <v>78382.526315789481</v>
      </c>
      <c r="R20" s="24"/>
    </row>
    <row r="21" spans="1:18" x14ac:dyDescent="0.2">
      <c r="A21" s="1"/>
      <c r="B21" s="1"/>
      <c r="C21" s="10"/>
      <c r="D21" s="3"/>
      <c r="E21" s="3"/>
      <c r="F21" s="3"/>
      <c r="G21" s="3" t="s">
        <v>18</v>
      </c>
      <c r="H21" s="11"/>
      <c r="I21" s="31">
        <v>3300</v>
      </c>
      <c r="J21" s="1"/>
      <c r="K21" s="1"/>
      <c r="M21" s="24">
        <v>15</v>
      </c>
      <c r="N21" s="24" t="s">
        <v>76</v>
      </c>
      <c r="O21" s="26">
        <v>67389.578947368427</v>
      </c>
      <c r="P21" s="26"/>
      <c r="Q21" s="26">
        <v>88100.105263157893</v>
      </c>
      <c r="R21" s="24"/>
    </row>
    <row r="22" spans="1:18" x14ac:dyDescent="0.2">
      <c r="A22" s="1"/>
      <c r="B22" s="1"/>
      <c r="C22" s="10"/>
      <c r="D22" s="3"/>
      <c r="E22" s="3"/>
      <c r="F22" s="3"/>
      <c r="G22" s="3" t="s">
        <v>19</v>
      </c>
      <c r="H22" s="11"/>
      <c r="I22" s="31">
        <v>545420</v>
      </c>
      <c r="J22" s="1"/>
      <c r="K22" s="1"/>
      <c r="M22" s="24">
        <v>16</v>
      </c>
      <c r="N22" s="24" t="s">
        <v>77</v>
      </c>
      <c r="O22" s="26">
        <v>44926.385964912282</v>
      </c>
      <c r="P22" s="26">
        <v>452650</v>
      </c>
      <c r="Q22" s="26">
        <v>58733.403508771931</v>
      </c>
      <c r="R22" s="37">
        <f>I38+I47+I49</f>
        <v>87790</v>
      </c>
    </row>
    <row r="23" spans="1:18" x14ac:dyDescent="0.2">
      <c r="A23" s="1"/>
      <c r="B23" s="1"/>
      <c r="C23" s="10"/>
      <c r="D23" s="3"/>
      <c r="E23" s="3"/>
      <c r="F23" s="3"/>
      <c r="G23" s="3" t="s">
        <v>20</v>
      </c>
      <c r="H23" s="11"/>
      <c r="I23" s="31">
        <v>58740</v>
      </c>
      <c r="J23" s="1"/>
      <c r="K23" s="1"/>
      <c r="M23" s="24">
        <v>17</v>
      </c>
      <c r="N23" s="24" t="s">
        <v>78</v>
      </c>
      <c r="O23" s="26">
        <v>0</v>
      </c>
      <c r="P23" s="26"/>
      <c r="Q23" s="26">
        <v>0</v>
      </c>
      <c r="R23" s="24"/>
    </row>
    <row r="24" spans="1:18" x14ac:dyDescent="0.2">
      <c r="A24" s="1"/>
      <c r="B24" s="1"/>
      <c r="C24" s="10"/>
      <c r="D24" s="3"/>
      <c r="E24" s="3"/>
      <c r="F24" s="3"/>
      <c r="G24" s="3" t="s">
        <v>21</v>
      </c>
      <c r="H24" s="11"/>
      <c r="I24" s="12"/>
      <c r="J24" s="1"/>
      <c r="K24" s="1"/>
      <c r="M24" s="24">
        <v>18</v>
      </c>
      <c r="N24" s="24" t="s">
        <v>79</v>
      </c>
      <c r="O24" s="26">
        <v>100000</v>
      </c>
      <c r="P24" s="26"/>
      <c r="Q24" s="26">
        <v>150000</v>
      </c>
      <c r="R24" s="24"/>
    </row>
    <row r="25" spans="1:18" ht="16" thickBot="1" x14ac:dyDescent="0.25">
      <c r="A25" s="1"/>
      <c r="B25" s="1"/>
      <c r="C25" s="10"/>
      <c r="D25" s="3"/>
      <c r="E25" s="3"/>
      <c r="F25" s="3"/>
      <c r="G25" s="3"/>
      <c r="H25" s="11" t="s">
        <v>22</v>
      </c>
      <c r="I25" s="32">
        <v>222900</v>
      </c>
      <c r="J25" s="1"/>
      <c r="K25" s="1"/>
      <c r="M25" s="24">
        <v>19</v>
      </c>
      <c r="N25" s="24" t="s">
        <v>80</v>
      </c>
      <c r="O25" s="26">
        <v>100000</v>
      </c>
      <c r="P25" s="26"/>
      <c r="Q25" s="26">
        <v>100000</v>
      </c>
      <c r="R25" s="24"/>
    </row>
    <row r="26" spans="1:18" x14ac:dyDescent="0.2">
      <c r="A26" s="1"/>
      <c r="B26" s="1"/>
      <c r="C26" s="10"/>
      <c r="D26" s="3"/>
      <c r="E26" s="3"/>
      <c r="F26" s="3"/>
      <c r="G26" s="3" t="s">
        <v>23</v>
      </c>
      <c r="H26" s="11"/>
      <c r="I26" s="12">
        <v>222900</v>
      </c>
      <c r="J26" s="1"/>
      <c r="K26" s="1"/>
      <c r="M26" s="24">
        <v>20</v>
      </c>
      <c r="N26" s="24" t="s">
        <v>81</v>
      </c>
      <c r="O26" s="26">
        <v>655000</v>
      </c>
      <c r="P26" s="26">
        <v>525299.66</v>
      </c>
      <c r="Q26" s="26">
        <v>655000</v>
      </c>
      <c r="R26" s="37">
        <f>I37</f>
        <v>617212</v>
      </c>
    </row>
    <row r="27" spans="1:18" x14ac:dyDescent="0.2">
      <c r="A27" s="1"/>
      <c r="B27" s="1"/>
      <c r="C27" s="10"/>
      <c r="D27" s="3"/>
      <c r="E27" s="3"/>
      <c r="F27" s="3"/>
      <c r="G27" s="3" t="s">
        <v>24</v>
      </c>
      <c r="H27" s="11"/>
      <c r="I27" s="12">
        <v>0</v>
      </c>
      <c r="J27" s="1"/>
      <c r="K27" s="1"/>
      <c r="M27" s="24"/>
      <c r="N27" s="64" t="s">
        <v>93</v>
      </c>
      <c r="O27" s="24"/>
      <c r="P27" s="24">
        <v>202852</v>
      </c>
      <c r="Q27" s="24"/>
      <c r="R27" s="37">
        <f>I30+I36+I39+I40+I41+I45+I46+I48+I50+I51</f>
        <v>81791</v>
      </c>
    </row>
    <row r="28" spans="1:18" ht="16" x14ac:dyDescent="0.2">
      <c r="A28" s="1"/>
      <c r="B28" s="1"/>
      <c r="C28" s="10"/>
      <c r="D28" s="3"/>
      <c r="E28" s="3"/>
      <c r="F28" s="3"/>
      <c r="G28" s="3" t="s">
        <v>25</v>
      </c>
      <c r="H28" s="11"/>
      <c r="I28" s="31">
        <v>20160</v>
      </c>
      <c r="J28" s="1"/>
      <c r="K28" s="1"/>
      <c r="M28" s="24"/>
      <c r="N28" s="27" t="s">
        <v>82</v>
      </c>
      <c r="O28" s="26">
        <v>3468248.4174400582</v>
      </c>
      <c r="P28" s="26">
        <v>1682182.6600000001</v>
      </c>
      <c r="Q28" s="26">
        <v>4333282.4585584793</v>
      </c>
      <c r="R28" s="36">
        <f>SUM(R7:R27)</f>
        <v>1853315.03</v>
      </c>
    </row>
    <row r="29" spans="1:18" x14ac:dyDescent="0.2">
      <c r="A29" s="1"/>
      <c r="B29" s="1"/>
      <c r="C29" s="10"/>
      <c r="D29" s="3"/>
      <c r="E29" s="3"/>
      <c r="F29" s="3"/>
      <c r="G29" s="3" t="s">
        <v>26</v>
      </c>
      <c r="H29" s="11"/>
      <c r="I29" s="31">
        <v>49140</v>
      </c>
      <c r="J29" s="1"/>
      <c r="K29" s="1"/>
      <c r="M29" s="24"/>
      <c r="N29" s="24"/>
      <c r="O29" s="28"/>
      <c r="P29" s="28"/>
      <c r="Q29" s="28"/>
      <c r="R29" s="24"/>
    </row>
    <row r="30" spans="1:18" x14ac:dyDescent="0.2">
      <c r="A30" s="1"/>
      <c r="B30" s="1"/>
      <c r="C30" s="10"/>
      <c r="D30" s="3"/>
      <c r="E30" s="3"/>
      <c r="F30" s="3"/>
      <c r="G30" s="3" t="s">
        <v>27</v>
      </c>
      <c r="H30" s="11"/>
      <c r="I30" s="31">
        <v>12465</v>
      </c>
      <c r="J30" s="1"/>
      <c r="K30" s="1"/>
      <c r="M30" s="24"/>
      <c r="N30" s="24" t="s">
        <v>83</v>
      </c>
      <c r="O30" s="25" t="s">
        <v>60</v>
      </c>
      <c r="P30" s="25"/>
      <c r="Q30" s="25" t="s">
        <v>61</v>
      </c>
      <c r="R30" s="24"/>
    </row>
    <row r="31" spans="1:18" x14ac:dyDescent="0.2">
      <c r="A31" s="1"/>
      <c r="B31" s="1"/>
      <c r="C31" s="10"/>
      <c r="D31" s="3"/>
      <c r="E31" s="3"/>
      <c r="F31" s="3"/>
      <c r="G31" s="3" t="s">
        <v>28</v>
      </c>
      <c r="H31" s="11"/>
      <c r="I31" s="31">
        <v>49500</v>
      </c>
      <c r="J31" s="1"/>
      <c r="K31" s="1"/>
      <c r="M31" s="24">
        <v>1</v>
      </c>
      <c r="N31" s="24" t="s">
        <v>84</v>
      </c>
      <c r="O31" s="26">
        <v>1080000</v>
      </c>
      <c r="P31" s="26">
        <v>0</v>
      </c>
      <c r="Q31" s="26">
        <v>1512000</v>
      </c>
      <c r="R31" s="34">
        <v>0</v>
      </c>
    </row>
    <row r="32" spans="1:18" ht="17" thickBot="1" x14ac:dyDescent="0.25">
      <c r="A32" s="1"/>
      <c r="B32" s="1"/>
      <c r="C32" s="10"/>
      <c r="D32" s="3"/>
      <c r="E32" s="3"/>
      <c r="F32" s="3"/>
      <c r="G32" s="3" t="s">
        <v>29</v>
      </c>
      <c r="H32" s="11"/>
      <c r="I32" s="32">
        <v>12000</v>
      </c>
      <c r="J32" s="1"/>
      <c r="K32" s="1"/>
      <c r="M32" s="24">
        <v>2</v>
      </c>
      <c r="N32" s="29" t="s">
        <v>85</v>
      </c>
      <c r="O32" s="26">
        <v>97125</v>
      </c>
      <c r="P32" s="26">
        <v>0</v>
      </c>
      <c r="Q32" s="26">
        <v>162750</v>
      </c>
      <c r="R32" s="34">
        <v>0</v>
      </c>
    </row>
    <row r="33" spans="1:18" ht="16" thickBot="1" x14ac:dyDescent="0.25">
      <c r="A33" s="1"/>
      <c r="B33" s="1"/>
      <c r="C33" s="10"/>
      <c r="D33" s="3"/>
      <c r="E33" s="3"/>
      <c r="F33" s="3" t="s">
        <v>30</v>
      </c>
      <c r="G33" s="3"/>
      <c r="H33" s="11"/>
      <c r="I33" s="14">
        <v>973625</v>
      </c>
      <c r="J33" s="1"/>
      <c r="K33" s="1"/>
      <c r="M33" s="24">
        <v>3</v>
      </c>
      <c r="N33" s="24" t="s">
        <v>86</v>
      </c>
      <c r="O33" s="26">
        <v>60375</v>
      </c>
      <c r="P33" s="26">
        <v>0</v>
      </c>
      <c r="Q33" s="26">
        <v>99750</v>
      </c>
      <c r="R33" s="34">
        <v>0</v>
      </c>
    </row>
    <row r="34" spans="1:18" x14ac:dyDescent="0.2">
      <c r="A34" s="1"/>
      <c r="B34" s="1"/>
      <c r="C34" s="10"/>
      <c r="D34" s="3"/>
      <c r="E34" s="3" t="s">
        <v>31</v>
      </c>
      <c r="F34" s="3"/>
      <c r="G34" s="3"/>
      <c r="H34" s="11"/>
      <c r="I34" s="12">
        <v>100387.5</v>
      </c>
      <c r="J34" s="1"/>
      <c r="K34" s="1"/>
      <c r="M34" s="24">
        <v>4</v>
      </c>
      <c r="N34" s="24" t="s">
        <v>87</v>
      </c>
      <c r="O34" s="26">
        <v>60375</v>
      </c>
      <c r="P34" s="26">
        <v>0</v>
      </c>
      <c r="Q34" s="26">
        <v>99750</v>
      </c>
      <c r="R34" s="34">
        <v>0</v>
      </c>
    </row>
    <row r="35" spans="1:18" x14ac:dyDescent="0.2">
      <c r="A35" s="1"/>
      <c r="B35" s="1"/>
      <c r="C35" s="10"/>
      <c r="D35" s="3"/>
      <c r="E35" s="3"/>
      <c r="F35" s="3" t="s">
        <v>32</v>
      </c>
      <c r="G35" s="3"/>
      <c r="H35" s="11"/>
      <c r="I35" s="12"/>
      <c r="J35" s="1"/>
      <c r="K35" s="1"/>
      <c r="M35" s="24">
        <v>5</v>
      </c>
      <c r="N35" s="24" t="s">
        <v>88</v>
      </c>
      <c r="O35" s="26">
        <v>1417500</v>
      </c>
      <c r="P35" s="26">
        <v>361750</v>
      </c>
      <c r="Q35" s="26">
        <v>1890000</v>
      </c>
      <c r="R35" s="35">
        <f>I11+I14+I15+I17+I18</f>
        <v>1074012.5</v>
      </c>
    </row>
    <row r="36" spans="1:18" x14ac:dyDescent="0.2">
      <c r="A36" s="1"/>
      <c r="B36" s="1"/>
      <c r="C36" s="10"/>
      <c r="D36" s="3"/>
      <c r="E36" s="3"/>
      <c r="F36" s="3"/>
      <c r="G36" s="3" t="s">
        <v>33</v>
      </c>
      <c r="H36" s="11"/>
      <c r="I36" s="31">
        <v>22000</v>
      </c>
      <c r="J36" s="1"/>
      <c r="K36" s="1"/>
      <c r="M36" s="24">
        <v>6</v>
      </c>
      <c r="N36" s="24" t="s">
        <v>89</v>
      </c>
      <c r="O36" s="26">
        <v>1890000</v>
      </c>
      <c r="P36" s="26"/>
      <c r="Q36" s="26">
        <v>2362500</v>
      </c>
      <c r="R36" s="24"/>
    </row>
    <row r="37" spans="1:18" x14ac:dyDescent="0.2">
      <c r="A37" s="1"/>
      <c r="B37" s="1"/>
      <c r="C37" s="10"/>
      <c r="D37" s="3"/>
      <c r="E37" s="3"/>
      <c r="F37" s="3"/>
      <c r="G37" s="3" t="s">
        <v>34</v>
      </c>
      <c r="H37" s="11"/>
      <c r="I37" s="31">
        <v>617212</v>
      </c>
      <c r="J37" s="1"/>
      <c r="K37" s="1"/>
      <c r="M37" s="24">
        <v>7</v>
      </c>
      <c r="N37" s="24" t="s">
        <v>90</v>
      </c>
      <c r="O37" s="26">
        <v>216000</v>
      </c>
      <c r="P37" s="26"/>
      <c r="Q37" s="26">
        <v>216000</v>
      </c>
      <c r="R37" s="24"/>
    </row>
    <row r="38" spans="1:18" x14ac:dyDescent="0.2">
      <c r="A38" s="1"/>
      <c r="B38" s="1"/>
      <c r="C38" s="10"/>
      <c r="D38" s="3"/>
      <c r="E38" s="3"/>
      <c r="F38" s="3"/>
      <c r="G38" s="3" t="s">
        <v>35</v>
      </c>
      <c r="H38" s="11"/>
      <c r="I38" s="31">
        <v>43750</v>
      </c>
      <c r="J38" s="1"/>
      <c r="K38" s="1"/>
      <c r="M38" s="24"/>
      <c r="N38" s="24" t="s">
        <v>91</v>
      </c>
      <c r="O38" s="26">
        <v>4821375</v>
      </c>
      <c r="P38" s="26">
        <v>361750</v>
      </c>
      <c r="Q38" s="26">
        <v>6342750</v>
      </c>
      <c r="R38" s="65">
        <f>SUM(R31:R37)</f>
        <v>1074012.5</v>
      </c>
    </row>
    <row r="39" spans="1:18" x14ac:dyDescent="0.2">
      <c r="A39" s="1"/>
      <c r="B39" s="1"/>
      <c r="C39" s="10"/>
      <c r="D39" s="3"/>
      <c r="E39" s="3"/>
      <c r="F39" s="3"/>
      <c r="G39" s="3" t="s">
        <v>36</v>
      </c>
      <c r="H39" s="11"/>
      <c r="I39" s="31">
        <v>17780</v>
      </c>
      <c r="J39" s="1"/>
      <c r="K39" s="1"/>
      <c r="M39" s="24"/>
      <c r="N39" s="24"/>
      <c r="O39" s="26"/>
      <c r="P39" s="26"/>
      <c r="Q39" s="26"/>
      <c r="R39" s="24"/>
    </row>
    <row r="40" spans="1:18" x14ac:dyDescent="0.2">
      <c r="A40" s="1"/>
      <c r="B40" s="1"/>
      <c r="C40" s="10"/>
      <c r="D40" s="3"/>
      <c r="E40" s="3"/>
      <c r="F40" s="3"/>
      <c r="G40" s="3" t="s">
        <v>37</v>
      </c>
      <c r="H40" s="11"/>
      <c r="I40" s="31">
        <v>640</v>
      </c>
      <c r="J40" s="1"/>
      <c r="K40" s="1"/>
      <c r="M40" s="24"/>
      <c r="N40" s="24" t="s">
        <v>92</v>
      </c>
      <c r="O40" s="26">
        <v>1353126.5825599418</v>
      </c>
      <c r="P40" s="26">
        <v>-1320432.6600000001</v>
      </c>
      <c r="Q40" s="26">
        <v>2009467.5414415207</v>
      </c>
      <c r="R40" s="66">
        <f>R38-R28</f>
        <v>-779302.53</v>
      </c>
    </row>
    <row r="41" spans="1:18" x14ac:dyDescent="0.2">
      <c r="A41" s="1"/>
      <c r="B41" s="1"/>
      <c r="C41" s="10"/>
      <c r="D41" s="3"/>
      <c r="E41" s="3"/>
      <c r="F41" s="3"/>
      <c r="G41" s="3" t="s">
        <v>38</v>
      </c>
      <c r="H41" s="11"/>
      <c r="I41" s="31">
        <v>8000</v>
      </c>
      <c r="J41" s="1"/>
      <c r="K41" s="1"/>
    </row>
    <row r="42" spans="1:18" x14ac:dyDescent="0.2">
      <c r="A42" s="1"/>
      <c r="B42" s="1"/>
      <c r="C42" s="10"/>
      <c r="D42" s="3"/>
      <c r="E42" s="3"/>
      <c r="F42" s="3"/>
      <c r="G42" s="3" t="s">
        <v>39</v>
      </c>
      <c r="H42" s="11"/>
      <c r="I42" s="12">
        <v>0</v>
      </c>
      <c r="J42" s="1"/>
      <c r="K42" s="1"/>
    </row>
    <row r="43" spans="1:18" x14ac:dyDescent="0.2">
      <c r="A43" s="1"/>
      <c r="B43" s="1"/>
      <c r="C43" s="10"/>
      <c r="D43" s="3"/>
      <c r="E43" s="3"/>
      <c r="F43" s="3"/>
      <c r="G43" s="3" t="s">
        <v>40</v>
      </c>
      <c r="H43" s="11"/>
      <c r="I43" s="31">
        <v>58161.51</v>
      </c>
      <c r="J43" s="1"/>
      <c r="K43" s="1"/>
    </row>
    <row r="44" spans="1:18" x14ac:dyDescent="0.2">
      <c r="A44" s="1"/>
      <c r="B44" s="1"/>
      <c r="C44" s="10"/>
      <c r="D44" s="3"/>
      <c r="E44" s="3"/>
      <c r="F44" s="3"/>
      <c r="G44" s="3" t="s">
        <v>41</v>
      </c>
      <c r="H44" s="11"/>
      <c r="I44" s="31">
        <v>47200.52</v>
      </c>
      <c r="J44" s="1"/>
      <c r="K44" s="1"/>
    </row>
    <row r="45" spans="1:18" x14ac:dyDescent="0.2">
      <c r="A45" s="1"/>
      <c r="B45" s="1"/>
      <c r="C45" s="10"/>
      <c r="D45" s="3"/>
      <c r="E45" s="3"/>
      <c r="F45" s="3"/>
      <c r="G45" s="3" t="s">
        <v>42</v>
      </c>
      <c r="H45" s="11"/>
      <c r="I45" s="31">
        <v>600</v>
      </c>
      <c r="J45" s="1"/>
      <c r="K45" s="1"/>
    </row>
    <row r="46" spans="1:18" x14ac:dyDescent="0.2">
      <c r="A46" s="1"/>
      <c r="B46" s="1"/>
      <c r="C46" s="10"/>
      <c r="D46" s="3"/>
      <c r="E46" s="3"/>
      <c r="F46" s="3"/>
      <c r="G46" s="3" t="s">
        <v>43</v>
      </c>
      <c r="H46" s="11"/>
      <c r="I46" s="31">
        <v>13736</v>
      </c>
      <c r="J46" s="1"/>
      <c r="K46" s="1"/>
    </row>
    <row r="47" spans="1:18" x14ac:dyDescent="0.2">
      <c r="A47" s="1"/>
      <c r="B47" s="1"/>
      <c r="C47" s="10"/>
      <c r="D47" s="3"/>
      <c r="E47" s="3"/>
      <c r="F47" s="3"/>
      <c r="G47" s="3" t="s">
        <v>44</v>
      </c>
      <c r="H47" s="11"/>
      <c r="I47" s="31">
        <v>42840</v>
      </c>
      <c r="J47" s="1"/>
      <c r="K47" s="1"/>
    </row>
    <row r="48" spans="1:18" x14ac:dyDescent="0.2">
      <c r="A48" s="1"/>
      <c r="B48" s="1"/>
      <c r="C48" s="10"/>
      <c r="D48" s="3"/>
      <c r="E48" s="3"/>
      <c r="F48" s="3"/>
      <c r="G48" s="3" t="s">
        <v>45</v>
      </c>
      <c r="H48" s="11"/>
      <c r="I48" s="12">
        <v>1000</v>
      </c>
      <c r="J48" s="1"/>
      <c r="K48" s="1"/>
    </row>
    <row r="49" spans="1:11" x14ac:dyDescent="0.2">
      <c r="A49" s="1"/>
      <c r="B49" s="1"/>
      <c r="C49" s="10"/>
      <c r="D49" s="3"/>
      <c r="E49" s="3"/>
      <c r="F49" s="3"/>
      <c r="G49" s="3" t="s">
        <v>46</v>
      </c>
      <c r="H49" s="11"/>
      <c r="I49" s="31">
        <v>1200</v>
      </c>
      <c r="J49" s="1"/>
      <c r="K49" s="1"/>
    </row>
    <row r="50" spans="1:11" x14ac:dyDescent="0.2">
      <c r="A50" s="1"/>
      <c r="B50" s="1"/>
      <c r="C50" s="10"/>
      <c r="D50" s="3"/>
      <c r="E50" s="3"/>
      <c r="F50" s="3"/>
      <c r="G50" s="3" t="s">
        <v>47</v>
      </c>
      <c r="H50" s="11"/>
      <c r="I50" s="12">
        <v>4910</v>
      </c>
      <c r="J50" s="1"/>
      <c r="K50" s="1"/>
    </row>
    <row r="51" spans="1:11" ht="16" thickBot="1" x14ac:dyDescent="0.25">
      <c r="A51" s="1"/>
      <c r="B51" s="1"/>
      <c r="C51" s="10"/>
      <c r="D51" s="3"/>
      <c r="E51" s="3"/>
      <c r="F51" s="3"/>
      <c r="G51" s="3" t="s">
        <v>48</v>
      </c>
      <c r="H51" s="11"/>
      <c r="I51" s="13">
        <v>660</v>
      </c>
      <c r="J51" s="1"/>
      <c r="K51" s="1"/>
    </row>
    <row r="52" spans="1:11" ht="16" thickBot="1" x14ac:dyDescent="0.25">
      <c r="A52" s="1"/>
      <c r="B52" s="1"/>
      <c r="C52" s="10"/>
      <c r="D52" s="3"/>
      <c r="E52" s="3"/>
      <c r="F52" s="3" t="s">
        <v>49</v>
      </c>
      <c r="G52" s="3"/>
      <c r="H52" s="11"/>
      <c r="I52" s="14">
        <v>879690.03</v>
      </c>
      <c r="J52" s="1"/>
      <c r="K52" s="1"/>
    </row>
    <row r="53" spans="1:11" x14ac:dyDescent="0.2">
      <c r="A53" s="1"/>
      <c r="B53" s="1"/>
      <c r="C53" s="10"/>
      <c r="D53" s="3" t="s">
        <v>50</v>
      </c>
      <c r="E53" s="3"/>
      <c r="F53" s="3"/>
      <c r="G53" s="3"/>
      <c r="H53" s="11"/>
      <c r="I53" s="12">
        <v>-779302.53</v>
      </c>
      <c r="J53" s="1"/>
      <c r="K53" s="1"/>
    </row>
    <row r="54" spans="1:11" x14ac:dyDescent="0.2">
      <c r="A54" s="1"/>
      <c r="B54" s="1"/>
      <c r="C54" s="10"/>
      <c r="D54" s="3" t="s">
        <v>51</v>
      </c>
      <c r="E54" s="3"/>
      <c r="F54" s="3"/>
      <c r="G54" s="3"/>
      <c r="H54" s="11"/>
      <c r="I54" s="12"/>
      <c r="J54" s="1"/>
      <c r="K54" s="1"/>
    </row>
    <row r="55" spans="1:11" x14ac:dyDescent="0.2">
      <c r="A55" s="1"/>
      <c r="B55" s="1"/>
      <c r="C55" s="10"/>
      <c r="D55" s="3"/>
      <c r="E55" s="3" t="s">
        <v>52</v>
      </c>
      <c r="F55" s="3"/>
      <c r="G55" s="3"/>
      <c r="H55" s="11"/>
      <c r="I55" s="12"/>
      <c r="J55" s="1"/>
      <c r="K55" s="1"/>
    </row>
    <row r="56" spans="1:11" ht="16" thickBot="1" x14ac:dyDescent="0.25">
      <c r="A56" s="1"/>
      <c r="B56" s="1"/>
      <c r="C56" s="10"/>
      <c r="D56" s="3"/>
      <c r="E56" s="3"/>
      <c r="F56" s="3" t="s">
        <v>53</v>
      </c>
      <c r="G56" s="3"/>
      <c r="H56" s="11"/>
      <c r="I56" s="13">
        <v>0</v>
      </c>
      <c r="J56" s="1"/>
      <c r="K56" s="1"/>
    </row>
    <row r="57" spans="1:11" x14ac:dyDescent="0.2">
      <c r="A57" s="1"/>
      <c r="B57" s="1"/>
      <c r="C57" s="10"/>
      <c r="D57" s="3"/>
      <c r="E57" s="3" t="s">
        <v>54</v>
      </c>
      <c r="F57" s="3"/>
      <c r="G57" s="3"/>
      <c r="H57" s="11"/>
      <c r="I57" s="12">
        <v>0</v>
      </c>
      <c r="J57" s="1"/>
      <c r="K57" s="1"/>
    </row>
    <row r="58" spans="1:11" x14ac:dyDescent="0.2">
      <c r="A58" s="1"/>
      <c r="B58" s="1"/>
      <c r="C58" s="10"/>
      <c r="D58" s="3"/>
      <c r="E58" s="3" t="s">
        <v>55</v>
      </c>
      <c r="F58" s="3"/>
      <c r="G58" s="3"/>
      <c r="H58" s="11"/>
      <c r="I58" s="12"/>
      <c r="J58" s="1"/>
      <c r="K58" s="1"/>
    </row>
    <row r="59" spans="1:11" ht="16" thickBot="1" x14ac:dyDescent="0.25">
      <c r="A59" s="1"/>
      <c r="B59" s="1"/>
      <c r="C59" s="10"/>
      <c r="D59" s="3"/>
      <c r="E59" s="3"/>
      <c r="F59" s="3" t="s">
        <v>56</v>
      </c>
      <c r="G59" s="3"/>
      <c r="H59" s="11"/>
      <c r="I59" s="13">
        <v>0</v>
      </c>
      <c r="J59" s="1"/>
      <c r="K59" s="1"/>
    </row>
    <row r="60" spans="1:11" ht="16" thickBot="1" x14ac:dyDescent="0.25">
      <c r="A60" s="1"/>
      <c r="B60" s="1"/>
      <c r="C60" s="10"/>
      <c r="D60" s="3"/>
      <c r="E60" s="3" t="s">
        <v>57</v>
      </c>
      <c r="F60" s="3"/>
      <c r="G60" s="3"/>
      <c r="H60" s="11"/>
      <c r="I60" s="14">
        <v>0</v>
      </c>
      <c r="J60" s="1"/>
      <c r="K60" s="1"/>
    </row>
    <row r="61" spans="1:11" ht="16" thickBot="1" x14ac:dyDescent="0.25">
      <c r="A61" s="1"/>
      <c r="B61" s="1"/>
      <c r="C61" s="10"/>
      <c r="D61" s="3" t="s">
        <v>58</v>
      </c>
      <c r="E61" s="3"/>
      <c r="F61" s="3"/>
      <c r="G61" s="3"/>
      <c r="H61" s="11"/>
      <c r="I61" s="14">
        <v>0</v>
      </c>
      <c r="J61" s="1"/>
      <c r="K61" s="1"/>
    </row>
    <row r="62" spans="1:11" ht="16" thickBot="1" x14ac:dyDescent="0.25">
      <c r="A62" s="1"/>
      <c r="B62" s="1"/>
      <c r="C62" s="10" t="s">
        <v>59</v>
      </c>
      <c r="D62" s="3"/>
      <c r="E62" s="3"/>
      <c r="F62" s="3"/>
      <c r="G62" s="3"/>
      <c r="H62" s="11"/>
      <c r="I62" s="15">
        <v>-779302.53</v>
      </c>
      <c r="J62" s="1"/>
      <c r="K62" s="1"/>
    </row>
    <row r="63" spans="1:11" ht="16" thickTop="1" x14ac:dyDescent="0.2">
      <c r="A63" s="1"/>
      <c r="B63" s="1"/>
      <c r="C63" s="16"/>
      <c r="D63" s="17"/>
      <c r="E63" s="17"/>
      <c r="F63" s="17"/>
      <c r="G63" s="17"/>
      <c r="H63" s="18"/>
      <c r="I63" s="19"/>
      <c r="J63" s="1"/>
      <c r="K63" s="1"/>
    </row>
    <row r="64" spans="1:11" ht="16" thickBot="1" x14ac:dyDescent="0.25">
      <c r="A64" s="1"/>
      <c r="B64" s="1"/>
      <c r="C64" s="20"/>
      <c r="D64" s="21"/>
      <c r="E64" s="21"/>
      <c r="F64" s="21"/>
      <c r="G64" s="21"/>
      <c r="H64" s="22"/>
      <c r="I64" s="23"/>
      <c r="J64" s="1"/>
      <c r="K64" s="1"/>
    </row>
    <row r="65" spans="1:1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</sheetData>
  <mergeCells count="2">
    <mergeCell ref="O5:P5"/>
    <mergeCell ref="Q5:R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34A6-B1BD-5D47-B0A2-83A046B3B8A3}">
  <dimension ref="A1:M77"/>
  <sheetViews>
    <sheetView workbookViewId="0">
      <selection activeCell="L5" sqref="L5:M39"/>
    </sheetView>
  </sheetViews>
  <sheetFormatPr baseColWidth="10" defaultRowHeight="15" x14ac:dyDescent="0.2"/>
  <cols>
    <col min="1" max="5" width="3" style="55" customWidth="1"/>
    <col min="6" max="6" width="36" style="55" customWidth="1"/>
    <col min="7" max="7" width="23" customWidth="1"/>
    <col min="8" max="8" width="8.83203125" customWidth="1"/>
    <col min="9" max="9" width="10.83203125" customWidth="1"/>
    <col min="10" max="10" width="9" bestFit="1" customWidth="1"/>
    <col min="11" max="11" width="19.33203125" customWidth="1"/>
    <col min="12" max="13" width="10.5" customWidth="1"/>
    <col min="14" max="256" width="8.83203125" customWidth="1"/>
    <col min="257" max="261" width="3" customWidth="1"/>
    <col min="262" max="262" width="36" customWidth="1"/>
    <col min="263" max="263" width="23" customWidth="1"/>
    <col min="264" max="512" width="8.83203125" customWidth="1"/>
    <col min="513" max="517" width="3" customWidth="1"/>
    <col min="518" max="518" width="36" customWidth="1"/>
    <col min="519" max="519" width="23" customWidth="1"/>
    <col min="520" max="768" width="8.83203125" customWidth="1"/>
    <col min="769" max="773" width="3" customWidth="1"/>
    <col min="774" max="774" width="36" customWidth="1"/>
    <col min="775" max="775" width="23" customWidth="1"/>
    <col min="776" max="1024" width="8.83203125" customWidth="1"/>
    <col min="1025" max="1029" width="3" customWidth="1"/>
    <col min="1030" max="1030" width="36" customWidth="1"/>
    <col min="1031" max="1031" width="23" customWidth="1"/>
    <col min="1032" max="1280" width="8.83203125" customWidth="1"/>
    <col min="1281" max="1285" width="3" customWidth="1"/>
    <col min="1286" max="1286" width="36" customWidth="1"/>
    <col min="1287" max="1287" width="23" customWidth="1"/>
    <col min="1288" max="1536" width="8.83203125" customWidth="1"/>
    <col min="1537" max="1541" width="3" customWidth="1"/>
    <col min="1542" max="1542" width="36" customWidth="1"/>
    <col min="1543" max="1543" width="23" customWidth="1"/>
    <col min="1544" max="1792" width="8.83203125" customWidth="1"/>
    <col min="1793" max="1797" width="3" customWidth="1"/>
    <col min="1798" max="1798" width="36" customWidth="1"/>
    <col min="1799" max="1799" width="23" customWidth="1"/>
    <col min="1800" max="2048" width="8.83203125" customWidth="1"/>
    <col min="2049" max="2053" width="3" customWidth="1"/>
    <col min="2054" max="2054" width="36" customWidth="1"/>
    <col min="2055" max="2055" width="23" customWidth="1"/>
    <col min="2056" max="2304" width="8.83203125" customWidth="1"/>
    <col min="2305" max="2309" width="3" customWidth="1"/>
    <col min="2310" max="2310" width="36" customWidth="1"/>
    <col min="2311" max="2311" width="23" customWidth="1"/>
    <col min="2312" max="2560" width="8.83203125" customWidth="1"/>
    <col min="2561" max="2565" width="3" customWidth="1"/>
    <col min="2566" max="2566" width="36" customWidth="1"/>
    <col min="2567" max="2567" width="23" customWidth="1"/>
    <col min="2568" max="2816" width="8.83203125" customWidth="1"/>
    <col min="2817" max="2821" width="3" customWidth="1"/>
    <col min="2822" max="2822" width="36" customWidth="1"/>
    <col min="2823" max="2823" width="23" customWidth="1"/>
    <col min="2824" max="3072" width="8.83203125" customWidth="1"/>
    <col min="3073" max="3077" width="3" customWidth="1"/>
    <col min="3078" max="3078" width="36" customWidth="1"/>
    <col min="3079" max="3079" width="23" customWidth="1"/>
    <col min="3080" max="3328" width="8.83203125" customWidth="1"/>
    <col min="3329" max="3333" width="3" customWidth="1"/>
    <col min="3334" max="3334" width="36" customWidth="1"/>
    <col min="3335" max="3335" width="23" customWidth="1"/>
    <col min="3336" max="3584" width="8.83203125" customWidth="1"/>
    <col min="3585" max="3589" width="3" customWidth="1"/>
    <col min="3590" max="3590" width="36" customWidth="1"/>
    <col min="3591" max="3591" width="23" customWidth="1"/>
    <col min="3592" max="3840" width="8.83203125" customWidth="1"/>
    <col min="3841" max="3845" width="3" customWidth="1"/>
    <col min="3846" max="3846" width="36" customWidth="1"/>
    <col min="3847" max="3847" width="23" customWidth="1"/>
    <col min="3848" max="4096" width="8.83203125" customWidth="1"/>
    <col min="4097" max="4101" width="3" customWidth="1"/>
    <col min="4102" max="4102" width="36" customWidth="1"/>
    <col min="4103" max="4103" width="23" customWidth="1"/>
    <col min="4104" max="4352" width="8.83203125" customWidth="1"/>
    <col min="4353" max="4357" width="3" customWidth="1"/>
    <col min="4358" max="4358" width="36" customWidth="1"/>
    <col min="4359" max="4359" width="23" customWidth="1"/>
    <col min="4360" max="4608" width="8.83203125" customWidth="1"/>
    <col min="4609" max="4613" width="3" customWidth="1"/>
    <col min="4614" max="4614" width="36" customWidth="1"/>
    <col min="4615" max="4615" width="23" customWidth="1"/>
    <col min="4616" max="4864" width="8.83203125" customWidth="1"/>
    <col min="4865" max="4869" width="3" customWidth="1"/>
    <col min="4870" max="4870" width="36" customWidth="1"/>
    <col min="4871" max="4871" width="23" customWidth="1"/>
    <col min="4872" max="5120" width="8.83203125" customWidth="1"/>
    <col min="5121" max="5125" width="3" customWidth="1"/>
    <col min="5126" max="5126" width="36" customWidth="1"/>
    <col min="5127" max="5127" width="23" customWidth="1"/>
    <col min="5128" max="5376" width="8.83203125" customWidth="1"/>
    <col min="5377" max="5381" width="3" customWidth="1"/>
    <col min="5382" max="5382" width="36" customWidth="1"/>
    <col min="5383" max="5383" width="23" customWidth="1"/>
    <col min="5384" max="5632" width="8.83203125" customWidth="1"/>
    <col min="5633" max="5637" width="3" customWidth="1"/>
    <col min="5638" max="5638" width="36" customWidth="1"/>
    <col min="5639" max="5639" width="23" customWidth="1"/>
    <col min="5640" max="5888" width="8.83203125" customWidth="1"/>
    <col min="5889" max="5893" width="3" customWidth="1"/>
    <col min="5894" max="5894" width="36" customWidth="1"/>
    <col min="5895" max="5895" width="23" customWidth="1"/>
    <col min="5896" max="6144" width="8.83203125" customWidth="1"/>
    <col min="6145" max="6149" width="3" customWidth="1"/>
    <col min="6150" max="6150" width="36" customWidth="1"/>
    <col min="6151" max="6151" width="23" customWidth="1"/>
    <col min="6152" max="6400" width="8.83203125" customWidth="1"/>
    <col min="6401" max="6405" width="3" customWidth="1"/>
    <col min="6406" max="6406" width="36" customWidth="1"/>
    <col min="6407" max="6407" width="23" customWidth="1"/>
    <col min="6408" max="6656" width="8.83203125" customWidth="1"/>
    <col min="6657" max="6661" width="3" customWidth="1"/>
    <col min="6662" max="6662" width="36" customWidth="1"/>
    <col min="6663" max="6663" width="23" customWidth="1"/>
    <col min="6664" max="6912" width="8.83203125" customWidth="1"/>
    <col min="6913" max="6917" width="3" customWidth="1"/>
    <col min="6918" max="6918" width="36" customWidth="1"/>
    <col min="6919" max="6919" width="23" customWidth="1"/>
    <col min="6920" max="7168" width="8.83203125" customWidth="1"/>
    <col min="7169" max="7173" width="3" customWidth="1"/>
    <col min="7174" max="7174" width="36" customWidth="1"/>
    <col min="7175" max="7175" width="23" customWidth="1"/>
    <col min="7176" max="7424" width="8.83203125" customWidth="1"/>
    <col min="7425" max="7429" width="3" customWidth="1"/>
    <col min="7430" max="7430" width="36" customWidth="1"/>
    <col min="7431" max="7431" width="23" customWidth="1"/>
    <col min="7432" max="7680" width="8.83203125" customWidth="1"/>
    <col min="7681" max="7685" width="3" customWidth="1"/>
    <col min="7686" max="7686" width="36" customWidth="1"/>
    <col min="7687" max="7687" width="23" customWidth="1"/>
    <col min="7688" max="7936" width="8.83203125" customWidth="1"/>
    <col min="7937" max="7941" width="3" customWidth="1"/>
    <col min="7942" max="7942" width="36" customWidth="1"/>
    <col min="7943" max="7943" width="23" customWidth="1"/>
    <col min="7944" max="8192" width="8.83203125" customWidth="1"/>
    <col min="8193" max="8197" width="3" customWidth="1"/>
    <col min="8198" max="8198" width="36" customWidth="1"/>
    <col min="8199" max="8199" width="23" customWidth="1"/>
    <col min="8200" max="8448" width="8.83203125" customWidth="1"/>
    <col min="8449" max="8453" width="3" customWidth="1"/>
    <col min="8454" max="8454" width="36" customWidth="1"/>
    <col min="8455" max="8455" width="23" customWidth="1"/>
    <col min="8456" max="8704" width="8.83203125" customWidth="1"/>
    <col min="8705" max="8709" width="3" customWidth="1"/>
    <col min="8710" max="8710" width="36" customWidth="1"/>
    <col min="8711" max="8711" width="23" customWidth="1"/>
    <col min="8712" max="8960" width="8.83203125" customWidth="1"/>
    <col min="8961" max="8965" width="3" customWidth="1"/>
    <col min="8966" max="8966" width="36" customWidth="1"/>
    <col min="8967" max="8967" width="23" customWidth="1"/>
    <col min="8968" max="9216" width="8.83203125" customWidth="1"/>
    <col min="9217" max="9221" width="3" customWidth="1"/>
    <col min="9222" max="9222" width="36" customWidth="1"/>
    <col min="9223" max="9223" width="23" customWidth="1"/>
    <col min="9224" max="9472" width="8.83203125" customWidth="1"/>
    <col min="9473" max="9477" width="3" customWidth="1"/>
    <col min="9478" max="9478" width="36" customWidth="1"/>
    <col min="9479" max="9479" width="23" customWidth="1"/>
    <col min="9480" max="9728" width="8.83203125" customWidth="1"/>
    <col min="9729" max="9733" width="3" customWidth="1"/>
    <col min="9734" max="9734" width="36" customWidth="1"/>
    <col min="9735" max="9735" width="23" customWidth="1"/>
    <col min="9736" max="9984" width="8.83203125" customWidth="1"/>
    <col min="9985" max="9989" width="3" customWidth="1"/>
    <col min="9990" max="9990" width="36" customWidth="1"/>
    <col min="9991" max="9991" width="23" customWidth="1"/>
    <col min="9992" max="10240" width="8.83203125" customWidth="1"/>
    <col min="10241" max="10245" width="3" customWidth="1"/>
    <col min="10246" max="10246" width="36" customWidth="1"/>
    <col min="10247" max="10247" width="23" customWidth="1"/>
    <col min="10248" max="10496" width="8.83203125" customWidth="1"/>
    <col min="10497" max="10501" width="3" customWidth="1"/>
    <col min="10502" max="10502" width="36" customWidth="1"/>
    <col min="10503" max="10503" width="23" customWidth="1"/>
    <col min="10504" max="10752" width="8.83203125" customWidth="1"/>
    <col min="10753" max="10757" width="3" customWidth="1"/>
    <col min="10758" max="10758" width="36" customWidth="1"/>
    <col min="10759" max="10759" width="23" customWidth="1"/>
    <col min="10760" max="11008" width="8.83203125" customWidth="1"/>
    <col min="11009" max="11013" width="3" customWidth="1"/>
    <col min="11014" max="11014" width="36" customWidth="1"/>
    <col min="11015" max="11015" width="23" customWidth="1"/>
    <col min="11016" max="11264" width="8.83203125" customWidth="1"/>
    <col min="11265" max="11269" width="3" customWidth="1"/>
    <col min="11270" max="11270" width="36" customWidth="1"/>
    <col min="11271" max="11271" width="23" customWidth="1"/>
    <col min="11272" max="11520" width="8.83203125" customWidth="1"/>
    <col min="11521" max="11525" width="3" customWidth="1"/>
    <col min="11526" max="11526" width="36" customWidth="1"/>
    <col min="11527" max="11527" width="23" customWidth="1"/>
    <col min="11528" max="11776" width="8.83203125" customWidth="1"/>
    <col min="11777" max="11781" width="3" customWidth="1"/>
    <col min="11782" max="11782" width="36" customWidth="1"/>
    <col min="11783" max="11783" width="23" customWidth="1"/>
    <col min="11784" max="12032" width="8.83203125" customWidth="1"/>
    <col min="12033" max="12037" width="3" customWidth="1"/>
    <col min="12038" max="12038" width="36" customWidth="1"/>
    <col min="12039" max="12039" width="23" customWidth="1"/>
    <col min="12040" max="12288" width="8.83203125" customWidth="1"/>
    <col min="12289" max="12293" width="3" customWidth="1"/>
    <col min="12294" max="12294" width="36" customWidth="1"/>
    <col min="12295" max="12295" width="23" customWidth="1"/>
    <col min="12296" max="12544" width="8.83203125" customWidth="1"/>
    <col min="12545" max="12549" width="3" customWidth="1"/>
    <col min="12550" max="12550" width="36" customWidth="1"/>
    <col min="12551" max="12551" width="23" customWidth="1"/>
    <col min="12552" max="12800" width="8.83203125" customWidth="1"/>
    <col min="12801" max="12805" width="3" customWidth="1"/>
    <col min="12806" max="12806" width="36" customWidth="1"/>
    <col min="12807" max="12807" width="23" customWidth="1"/>
    <col min="12808" max="13056" width="8.83203125" customWidth="1"/>
    <col min="13057" max="13061" width="3" customWidth="1"/>
    <col min="13062" max="13062" width="36" customWidth="1"/>
    <col min="13063" max="13063" width="23" customWidth="1"/>
    <col min="13064" max="13312" width="8.83203125" customWidth="1"/>
    <col min="13313" max="13317" width="3" customWidth="1"/>
    <col min="13318" max="13318" width="36" customWidth="1"/>
    <col min="13319" max="13319" width="23" customWidth="1"/>
    <col min="13320" max="13568" width="8.83203125" customWidth="1"/>
    <col min="13569" max="13573" width="3" customWidth="1"/>
    <col min="13574" max="13574" width="36" customWidth="1"/>
    <col min="13575" max="13575" width="23" customWidth="1"/>
    <col min="13576" max="13824" width="8.83203125" customWidth="1"/>
    <col min="13825" max="13829" width="3" customWidth="1"/>
    <col min="13830" max="13830" width="36" customWidth="1"/>
    <col min="13831" max="13831" width="23" customWidth="1"/>
    <col min="13832" max="14080" width="8.83203125" customWidth="1"/>
    <col min="14081" max="14085" width="3" customWidth="1"/>
    <col min="14086" max="14086" width="36" customWidth="1"/>
    <col min="14087" max="14087" width="23" customWidth="1"/>
    <col min="14088" max="14336" width="8.83203125" customWidth="1"/>
    <col min="14337" max="14341" width="3" customWidth="1"/>
    <col min="14342" max="14342" width="36" customWidth="1"/>
    <col min="14343" max="14343" width="23" customWidth="1"/>
    <col min="14344" max="14592" width="8.83203125" customWidth="1"/>
    <col min="14593" max="14597" width="3" customWidth="1"/>
    <col min="14598" max="14598" width="36" customWidth="1"/>
    <col min="14599" max="14599" width="23" customWidth="1"/>
    <col min="14600" max="14848" width="8.83203125" customWidth="1"/>
    <col min="14849" max="14853" width="3" customWidth="1"/>
    <col min="14854" max="14854" width="36" customWidth="1"/>
    <col min="14855" max="14855" width="23" customWidth="1"/>
    <col min="14856" max="15104" width="8.83203125" customWidth="1"/>
    <col min="15105" max="15109" width="3" customWidth="1"/>
    <col min="15110" max="15110" width="36" customWidth="1"/>
    <col min="15111" max="15111" width="23" customWidth="1"/>
    <col min="15112" max="15360" width="8.83203125" customWidth="1"/>
    <col min="15361" max="15365" width="3" customWidth="1"/>
    <col min="15366" max="15366" width="36" customWidth="1"/>
    <col min="15367" max="15367" width="23" customWidth="1"/>
    <col min="15368" max="15616" width="8.83203125" customWidth="1"/>
    <col min="15617" max="15621" width="3" customWidth="1"/>
    <col min="15622" max="15622" width="36" customWidth="1"/>
    <col min="15623" max="15623" width="23" customWidth="1"/>
    <col min="15624" max="15872" width="8.83203125" customWidth="1"/>
    <col min="15873" max="15877" width="3" customWidth="1"/>
    <col min="15878" max="15878" width="36" customWidth="1"/>
    <col min="15879" max="15879" width="23" customWidth="1"/>
    <col min="15880" max="16128" width="8.83203125" customWidth="1"/>
    <col min="16129" max="16133" width="3" customWidth="1"/>
    <col min="16134" max="16134" width="36" customWidth="1"/>
    <col min="16135" max="16135" width="23" customWidth="1"/>
    <col min="16136" max="16384" width="8.83203125" customWidth="1"/>
  </cols>
  <sheetData>
    <row r="1" spans="1:13" ht="16" x14ac:dyDescent="0.2">
      <c r="A1" s="38" t="s">
        <v>0</v>
      </c>
      <c r="B1" s="39"/>
      <c r="C1" s="39"/>
      <c r="D1" s="39"/>
      <c r="E1" s="39"/>
      <c r="F1" s="39"/>
      <c r="G1" s="40"/>
      <c r="H1" s="1"/>
    </row>
    <row r="2" spans="1:13" ht="18" x14ac:dyDescent="0.2">
      <c r="A2" s="41" t="s">
        <v>1</v>
      </c>
      <c r="B2" s="39"/>
      <c r="C2" s="39"/>
      <c r="D2" s="39"/>
      <c r="E2" s="39"/>
      <c r="F2" s="39"/>
      <c r="G2" s="40"/>
      <c r="H2" s="1"/>
    </row>
    <row r="3" spans="1:13" x14ac:dyDescent="0.2">
      <c r="A3" s="39" t="s">
        <v>94</v>
      </c>
      <c r="B3" s="39"/>
      <c r="C3" s="39"/>
      <c r="D3" s="39"/>
      <c r="E3" s="39"/>
      <c r="F3" s="39"/>
      <c r="G3" s="40"/>
      <c r="H3" s="1"/>
    </row>
    <row r="4" spans="1:13" ht="16" thickBot="1" x14ac:dyDescent="0.25">
      <c r="A4" s="39"/>
      <c r="B4" s="39"/>
      <c r="C4" s="39"/>
      <c r="D4" s="39"/>
      <c r="E4" s="39"/>
      <c r="F4" s="39"/>
      <c r="G4" s="40"/>
      <c r="H4" s="1"/>
    </row>
    <row r="5" spans="1:13" s="47" customFormat="1" ht="16" thickBot="1" x14ac:dyDescent="0.25">
      <c r="A5" s="42"/>
      <c r="B5" s="43"/>
      <c r="C5" s="43"/>
      <c r="D5" s="43"/>
      <c r="E5" s="43"/>
      <c r="F5" s="44"/>
      <c r="G5" s="45" t="s">
        <v>3</v>
      </c>
      <c r="H5" s="46"/>
      <c r="J5" s="24"/>
      <c r="K5" s="24"/>
      <c r="L5" s="25" t="s">
        <v>60</v>
      </c>
      <c r="M5" s="25"/>
    </row>
    <row r="6" spans="1:13" ht="16" thickTop="1" x14ac:dyDescent="0.2">
      <c r="A6" s="48"/>
      <c r="B6" s="39" t="s">
        <v>4</v>
      </c>
      <c r="C6" s="39"/>
      <c r="D6" s="39"/>
      <c r="E6" s="39"/>
      <c r="F6" s="49"/>
      <c r="G6" s="50"/>
      <c r="H6" s="1"/>
      <c r="J6" s="24">
        <v>1</v>
      </c>
      <c r="K6" s="24" t="s">
        <v>62</v>
      </c>
      <c r="L6" s="26">
        <v>1554440.9431578948</v>
      </c>
      <c r="M6" s="26">
        <f>G20+G21+G22+G24</f>
        <v>167550</v>
      </c>
    </row>
    <row r="7" spans="1:13" x14ac:dyDescent="0.2">
      <c r="A7" s="48"/>
      <c r="B7" s="39"/>
      <c r="C7" s="39"/>
      <c r="D7" s="39" t="s">
        <v>5</v>
      </c>
      <c r="E7" s="39"/>
      <c r="F7" s="49"/>
      <c r="G7" s="50"/>
      <c r="H7" s="1"/>
      <c r="J7" s="24">
        <v>2</v>
      </c>
      <c r="K7" s="24" t="s">
        <v>63</v>
      </c>
      <c r="L7" s="26">
        <v>3418.8</v>
      </c>
      <c r="M7" s="26">
        <v>0</v>
      </c>
    </row>
    <row r="8" spans="1:13" x14ac:dyDescent="0.2">
      <c r="A8" s="48"/>
      <c r="B8" s="39"/>
      <c r="C8" s="39"/>
      <c r="D8" s="39"/>
      <c r="E8" s="39" t="s">
        <v>6</v>
      </c>
      <c r="F8" s="49"/>
      <c r="G8" s="50">
        <v>0</v>
      </c>
      <c r="H8" s="1"/>
      <c r="J8" s="24">
        <v>3</v>
      </c>
      <c r="K8" s="24" t="s">
        <v>64</v>
      </c>
      <c r="L8" s="26">
        <v>13692.215460526315</v>
      </c>
      <c r="M8" s="26">
        <v>0</v>
      </c>
    </row>
    <row r="9" spans="1:13" x14ac:dyDescent="0.2">
      <c r="A9" s="48"/>
      <c r="B9" s="39"/>
      <c r="C9" s="39"/>
      <c r="D9" s="39"/>
      <c r="E9" s="39" t="s">
        <v>7</v>
      </c>
      <c r="F9" s="49"/>
      <c r="G9" s="50"/>
      <c r="H9" s="1"/>
      <c r="J9" s="24">
        <v>4</v>
      </c>
      <c r="K9" s="24" t="s">
        <v>65</v>
      </c>
      <c r="L9" s="26">
        <v>49010.366447368418</v>
      </c>
      <c r="M9" s="26">
        <v>0</v>
      </c>
    </row>
    <row r="10" spans="1:13" ht="16" thickBot="1" x14ac:dyDescent="0.25">
      <c r="A10" s="48"/>
      <c r="B10" s="39"/>
      <c r="C10" s="39"/>
      <c r="D10" s="39"/>
      <c r="E10" s="39"/>
      <c r="F10" s="49" t="s">
        <v>8</v>
      </c>
      <c r="G10" s="51">
        <v>66250</v>
      </c>
      <c r="H10" s="1"/>
      <c r="J10" s="24">
        <v>5</v>
      </c>
      <c r="K10" s="24" t="s">
        <v>66</v>
      </c>
      <c r="L10" s="26">
        <v>54904.836842105258</v>
      </c>
      <c r="M10" s="26">
        <v>0</v>
      </c>
    </row>
    <row r="11" spans="1:13" x14ac:dyDescent="0.2">
      <c r="A11" s="48"/>
      <c r="B11" s="39"/>
      <c r="C11" s="39"/>
      <c r="D11" s="39"/>
      <c r="E11" s="39" t="s">
        <v>9</v>
      </c>
      <c r="F11" s="49"/>
      <c r="G11" s="50">
        <f>ROUND(SUM(G9:G10),5)</f>
        <v>66250</v>
      </c>
      <c r="H11" s="1"/>
      <c r="J11" s="24">
        <v>6</v>
      </c>
      <c r="K11" s="24" t="s">
        <v>67</v>
      </c>
      <c r="L11" s="26">
        <v>8625</v>
      </c>
      <c r="M11" s="26">
        <v>0</v>
      </c>
    </row>
    <row r="12" spans="1:13" x14ac:dyDescent="0.2">
      <c r="A12" s="48"/>
      <c r="B12" s="39"/>
      <c r="C12" s="39"/>
      <c r="D12" s="39"/>
      <c r="E12" s="39" t="s">
        <v>95</v>
      </c>
      <c r="F12" s="49"/>
      <c r="G12" s="50">
        <v>12750</v>
      </c>
      <c r="H12" s="1"/>
      <c r="J12" s="24">
        <v>7</v>
      </c>
      <c r="K12" s="24" t="s">
        <v>68</v>
      </c>
      <c r="L12" s="26">
        <v>467469.97894736839</v>
      </c>
      <c r="M12" s="26">
        <f>G26</f>
        <v>292881</v>
      </c>
    </row>
    <row r="13" spans="1:13" x14ac:dyDescent="0.2">
      <c r="A13" s="48"/>
      <c r="B13" s="39"/>
      <c r="C13" s="39"/>
      <c r="D13" s="39"/>
      <c r="E13" s="39" t="s">
        <v>96</v>
      </c>
      <c r="F13" s="49"/>
      <c r="G13" s="50">
        <v>0</v>
      </c>
      <c r="H13" s="1"/>
      <c r="J13" s="24">
        <v>8</v>
      </c>
      <c r="K13" s="24" t="s">
        <v>69</v>
      </c>
      <c r="L13" s="26">
        <v>56607.246315789474</v>
      </c>
      <c r="M13" s="26">
        <f>G34</f>
        <v>8500</v>
      </c>
    </row>
    <row r="14" spans="1:13" x14ac:dyDescent="0.2">
      <c r="A14" s="48"/>
      <c r="B14" s="39"/>
      <c r="C14" s="39"/>
      <c r="D14" s="39"/>
      <c r="E14" s="39" t="s">
        <v>10</v>
      </c>
      <c r="F14" s="49"/>
      <c r="G14" s="50"/>
      <c r="H14" s="1"/>
      <c r="J14" s="24">
        <v>9</v>
      </c>
      <c r="K14" s="24" t="s">
        <v>70</v>
      </c>
      <c r="L14" s="26">
        <v>47955.831578947371</v>
      </c>
      <c r="M14" s="26"/>
    </row>
    <row r="15" spans="1:13" ht="16" thickBot="1" x14ac:dyDescent="0.25">
      <c r="A15" s="48"/>
      <c r="B15" s="39"/>
      <c r="C15" s="39"/>
      <c r="D15" s="39"/>
      <c r="E15" s="39"/>
      <c r="F15" s="49" t="s">
        <v>12</v>
      </c>
      <c r="G15" s="51">
        <v>267750</v>
      </c>
      <c r="H15" s="1"/>
      <c r="J15" s="24">
        <v>10</v>
      </c>
      <c r="K15" s="24" t="s">
        <v>71</v>
      </c>
      <c r="L15" s="26">
        <v>5183.8349473684211</v>
      </c>
      <c r="M15" s="26"/>
    </row>
    <row r="16" spans="1:13" x14ac:dyDescent="0.2">
      <c r="A16" s="48"/>
      <c r="B16" s="39"/>
      <c r="C16" s="39"/>
      <c r="D16" s="39"/>
      <c r="E16" s="39" t="s">
        <v>13</v>
      </c>
      <c r="F16" s="49"/>
      <c r="G16" s="50">
        <f>ROUND(SUM(G14:G15),5)</f>
        <v>267750</v>
      </c>
      <c r="H16" s="1"/>
      <c r="J16" s="24">
        <v>11</v>
      </c>
      <c r="K16" s="24" t="s">
        <v>72</v>
      </c>
      <c r="L16" s="26">
        <v>5485.726315789474</v>
      </c>
      <c r="M16" s="26"/>
    </row>
    <row r="17" spans="1:13" ht="16" thickBot="1" x14ac:dyDescent="0.25">
      <c r="A17" s="48"/>
      <c r="B17" s="39"/>
      <c r="C17" s="39"/>
      <c r="D17" s="39"/>
      <c r="E17" s="39" t="s">
        <v>14</v>
      </c>
      <c r="F17" s="49"/>
      <c r="G17" s="51">
        <v>15000</v>
      </c>
      <c r="H17" s="1"/>
      <c r="J17" s="24">
        <v>12</v>
      </c>
      <c r="K17" s="24" t="s">
        <v>73</v>
      </c>
      <c r="L17" s="26">
        <v>73956.725146198834</v>
      </c>
      <c r="M17" s="26">
        <f>G31</f>
        <v>15620</v>
      </c>
    </row>
    <row r="18" spans="1:13" x14ac:dyDescent="0.2">
      <c r="A18" s="48"/>
      <c r="B18" s="39"/>
      <c r="C18" s="39"/>
      <c r="D18" s="39" t="s">
        <v>16</v>
      </c>
      <c r="E18" s="39"/>
      <c r="F18" s="49"/>
      <c r="G18" s="50">
        <f>ROUND(SUM(G7:G8)+SUM(G11:G13)+SUM(G16:G17),5)</f>
        <v>361750</v>
      </c>
      <c r="H18" s="1"/>
      <c r="J18" s="24">
        <v>13</v>
      </c>
      <c r="K18" s="24" t="s">
        <v>74</v>
      </c>
      <c r="L18" s="26">
        <v>101219.47368421052</v>
      </c>
      <c r="M18" s="26">
        <f>G29+G33</f>
        <v>16830</v>
      </c>
    </row>
    <row r="19" spans="1:13" x14ac:dyDescent="0.2">
      <c r="A19" s="48"/>
      <c r="B19" s="39"/>
      <c r="C19" s="39"/>
      <c r="D19" s="39" t="s">
        <v>17</v>
      </c>
      <c r="E19" s="39"/>
      <c r="F19" s="49"/>
      <c r="G19" s="50"/>
      <c r="H19" s="1"/>
      <c r="J19" s="24">
        <v>14</v>
      </c>
      <c r="K19" s="24" t="s">
        <v>75</v>
      </c>
      <c r="L19" s="26">
        <v>58961.473684210527</v>
      </c>
      <c r="M19" s="26"/>
    </row>
    <row r="20" spans="1:13" x14ac:dyDescent="0.2">
      <c r="A20" s="48"/>
      <c r="B20" s="39"/>
      <c r="C20" s="39"/>
      <c r="D20" s="39"/>
      <c r="E20" s="39" t="s">
        <v>19</v>
      </c>
      <c r="F20" s="49"/>
      <c r="G20" s="62">
        <v>89970</v>
      </c>
      <c r="H20" s="1"/>
      <c r="J20" s="24">
        <v>15</v>
      </c>
      <c r="K20" s="24" t="s">
        <v>76</v>
      </c>
      <c r="L20" s="26">
        <v>67389.578947368427</v>
      </c>
      <c r="M20" s="26"/>
    </row>
    <row r="21" spans="1:13" x14ac:dyDescent="0.2">
      <c r="A21" s="48"/>
      <c r="B21" s="39"/>
      <c r="C21" s="39"/>
      <c r="D21" s="39"/>
      <c r="E21" s="39" t="s">
        <v>97</v>
      </c>
      <c r="F21" s="49"/>
      <c r="G21" s="62">
        <v>5500</v>
      </c>
      <c r="H21" s="1"/>
      <c r="J21" s="24">
        <v>16</v>
      </c>
      <c r="K21" s="24" t="s">
        <v>77</v>
      </c>
      <c r="L21" s="26">
        <v>44926.385964912282</v>
      </c>
      <c r="M21" s="26">
        <f>G39+G55+G56</f>
        <v>452650</v>
      </c>
    </row>
    <row r="22" spans="1:13" x14ac:dyDescent="0.2">
      <c r="A22" s="48"/>
      <c r="B22" s="39"/>
      <c r="C22" s="39"/>
      <c r="D22" s="39"/>
      <c r="E22" s="39" t="s">
        <v>20</v>
      </c>
      <c r="F22" s="49"/>
      <c r="G22" s="62">
        <v>4280</v>
      </c>
      <c r="H22" s="1"/>
      <c r="J22" s="24">
        <v>17</v>
      </c>
      <c r="K22" s="24" t="s">
        <v>78</v>
      </c>
      <c r="L22" s="26">
        <v>0</v>
      </c>
      <c r="M22" s="26"/>
    </row>
    <row r="23" spans="1:13" x14ac:dyDescent="0.2">
      <c r="A23" s="48"/>
      <c r="B23" s="39"/>
      <c r="C23" s="39"/>
      <c r="D23" s="39"/>
      <c r="E23" s="39" t="s">
        <v>98</v>
      </c>
      <c r="F23" s="49"/>
      <c r="G23" s="50">
        <v>0</v>
      </c>
      <c r="H23" s="1"/>
      <c r="J23" s="24">
        <v>18</v>
      </c>
      <c r="K23" s="24" t="s">
        <v>79</v>
      </c>
      <c r="L23" s="26">
        <v>100000</v>
      </c>
      <c r="M23" s="26"/>
    </row>
    <row r="24" spans="1:13" x14ac:dyDescent="0.2">
      <c r="A24" s="48"/>
      <c r="B24" s="39"/>
      <c r="C24" s="39"/>
      <c r="D24" s="39"/>
      <c r="E24" s="39" t="s">
        <v>99</v>
      </c>
      <c r="F24" s="49"/>
      <c r="G24" s="62">
        <v>67800</v>
      </c>
      <c r="H24" s="1"/>
      <c r="I24" s="30"/>
      <c r="J24" s="24">
        <v>19</v>
      </c>
      <c r="K24" s="24" t="s">
        <v>80</v>
      </c>
      <c r="L24" s="26">
        <v>100000</v>
      </c>
      <c r="M24" s="26"/>
    </row>
    <row r="25" spans="1:13" x14ac:dyDescent="0.2">
      <c r="A25" s="48"/>
      <c r="B25" s="39"/>
      <c r="C25" s="39"/>
      <c r="D25" s="39"/>
      <c r="E25" s="39" t="s">
        <v>21</v>
      </c>
      <c r="F25" s="49"/>
      <c r="G25" s="50"/>
      <c r="H25" s="1"/>
      <c r="J25" s="24">
        <v>20</v>
      </c>
      <c r="K25" s="24" t="s">
        <v>81</v>
      </c>
      <c r="L25" s="26">
        <v>655000</v>
      </c>
      <c r="M25" s="26">
        <f>G38+G40+G41+G42</f>
        <v>525299.66</v>
      </c>
    </row>
    <row r="26" spans="1:13" x14ac:dyDescent="0.2">
      <c r="A26" s="48"/>
      <c r="B26" s="39"/>
      <c r="C26" s="39"/>
      <c r="D26" s="39"/>
      <c r="E26" s="39"/>
      <c r="F26" s="49" t="s">
        <v>22</v>
      </c>
      <c r="G26" s="62">
        <v>292881</v>
      </c>
      <c r="H26" s="1"/>
      <c r="K26" s="33" t="s">
        <v>93</v>
      </c>
      <c r="M26" s="30">
        <f>G30+G44+G46+G47+G48+G52+G53+G57+G60</f>
        <v>202852</v>
      </c>
    </row>
    <row r="27" spans="1:13" ht="17" thickBot="1" x14ac:dyDescent="0.25">
      <c r="A27" s="48"/>
      <c r="B27" s="39"/>
      <c r="C27" s="39"/>
      <c r="D27" s="39"/>
      <c r="E27" s="39"/>
      <c r="F27" s="49" t="s">
        <v>100</v>
      </c>
      <c r="G27" s="51">
        <v>0</v>
      </c>
      <c r="H27" s="1"/>
      <c r="J27" s="24"/>
      <c r="K27" s="27" t="s">
        <v>82</v>
      </c>
      <c r="L27" s="26">
        <v>3468248.4174400582</v>
      </c>
      <c r="M27" s="26">
        <f>SUM(M6:M26)</f>
        <v>1682182.6600000001</v>
      </c>
    </row>
    <row r="28" spans="1:13" x14ac:dyDescent="0.2">
      <c r="A28" s="48"/>
      <c r="B28" s="39"/>
      <c r="C28" s="39"/>
      <c r="D28" s="39"/>
      <c r="E28" s="39" t="s">
        <v>23</v>
      </c>
      <c r="F28" s="49"/>
      <c r="G28" s="62">
        <f>ROUND(SUM(G25:G27),5)</f>
        <v>292881</v>
      </c>
      <c r="H28" s="1"/>
      <c r="J28" s="24"/>
      <c r="K28" s="24"/>
      <c r="L28" s="28"/>
      <c r="M28" s="28"/>
    </row>
    <row r="29" spans="1:13" x14ac:dyDescent="0.2">
      <c r="A29" s="48"/>
      <c r="B29" s="39"/>
      <c r="C29" s="39"/>
      <c r="D29" s="39"/>
      <c r="E29" s="39" t="s">
        <v>25</v>
      </c>
      <c r="F29" s="49"/>
      <c r="G29" s="62">
        <v>14830</v>
      </c>
      <c r="H29" s="1"/>
      <c r="J29" s="24"/>
      <c r="K29" s="24" t="s">
        <v>83</v>
      </c>
      <c r="L29" s="25" t="s">
        <v>60</v>
      </c>
      <c r="M29" s="25"/>
    </row>
    <row r="30" spans="1:13" x14ac:dyDescent="0.2">
      <c r="A30" s="48"/>
      <c r="B30" s="39"/>
      <c r="C30" s="39"/>
      <c r="D30" s="39"/>
      <c r="E30" s="39" t="s">
        <v>101</v>
      </c>
      <c r="F30" s="49"/>
      <c r="G30" s="62">
        <v>12990</v>
      </c>
      <c r="H30" s="1"/>
      <c r="J30" s="24">
        <v>1</v>
      </c>
      <c r="K30" s="24" t="s">
        <v>84</v>
      </c>
      <c r="L30" s="26">
        <v>1080000</v>
      </c>
      <c r="M30" s="26">
        <v>0</v>
      </c>
    </row>
    <row r="31" spans="1:13" ht="16" x14ac:dyDescent="0.2">
      <c r="A31" s="48"/>
      <c r="B31" s="39"/>
      <c r="C31" s="39"/>
      <c r="D31" s="39"/>
      <c r="E31" s="39" t="s">
        <v>26</v>
      </c>
      <c r="F31" s="49"/>
      <c r="G31" s="62">
        <v>15620</v>
      </c>
      <c r="H31" s="1"/>
      <c r="J31" s="24">
        <v>2</v>
      </c>
      <c r="K31" s="29" t="s">
        <v>85</v>
      </c>
      <c r="L31" s="26">
        <v>97125</v>
      </c>
      <c r="M31" s="26">
        <v>0</v>
      </c>
    </row>
    <row r="32" spans="1:13" x14ac:dyDescent="0.2">
      <c r="A32" s="48"/>
      <c r="B32" s="39"/>
      <c r="C32" s="39"/>
      <c r="D32" s="39"/>
      <c r="E32" s="39" t="s">
        <v>27</v>
      </c>
      <c r="F32" s="49"/>
      <c r="G32" s="50">
        <v>0</v>
      </c>
      <c r="H32" s="1"/>
      <c r="J32" s="24">
        <v>3</v>
      </c>
      <c r="K32" s="24" t="s">
        <v>86</v>
      </c>
      <c r="L32" s="26">
        <v>60375</v>
      </c>
      <c r="M32" s="26">
        <v>0</v>
      </c>
    </row>
    <row r="33" spans="1:13" x14ac:dyDescent="0.2">
      <c r="A33" s="48"/>
      <c r="B33" s="39"/>
      <c r="C33" s="39"/>
      <c r="D33" s="39"/>
      <c r="E33" s="39" t="s">
        <v>28</v>
      </c>
      <c r="F33" s="49"/>
      <c r="G33" s="62">
        <v>2000</v>
      </c>
      <c r="H33" s="1"/>
      <c r="J33" s="24">
        <v>4</v>
      </c>
      <c r="K33" s="24" t="s">
        <v>87</v>
      </c>
      <c r="L33" s="26">
        <v>60375</v>
      </c>
      <c r="M33" s="26">
        <v>0</v>
      </c>
    </row>
    <row r="34" spans="1:13" ht="16" thickBot="1" x14ac:dyDescent="0.25">
      <c r="A34" s="48"/>
      <c r="B34" s="39"/>
      <c r="C34" s="39"/>
      <c r="D34" s="39"/>
      <c r="E34" s="39" t="s">
        <v>29</v>
      </c>
      <c r="F34" s="49"/>
      <c r="G34" s="63">
        <v>8500</v>
      </c>
      <c r="H34" s="1"/>
      <c r="J34" s="24">
        <v>5</v>
      </c>
      <c r="K34" s="24" t="s">
        <v>88</v>
      </c>
      <c r="L34" s="26">
        <v>1417500</v>
      </c>
      <c r="M34" s="26">
        <f>G11+G12+G15+G17</f>
        <v>361750</v>
      </c>
    </row>
    <row r="35" spans="1:13" ht="16" thickBot="1" x14ac:dyDescent="0.25">
      <c r="A35" s="48"/>
      <c r="B35" s="39"/>
      <c r="C35" s="39"/>
      <c r="D35" s="39" t="s">
        <v>30</v>
      </c>
      <c r="E35" s="39"/>
      <c r="F35" s="49"/>
      <c r="G35" s="52">
        <f>ROUND(SUM(G19:G24)+SUM(G28:G34),5)</f>
        <v>514371</v>
      </c>
      <c r="H35" s="1"/>
      <c r="J35" s="24">
        <v>6</v>
      </c>
      <c r="K35" s="24" t="s">
        <v>89</v>
      </c>
      <c r="L35" s="26">
        <v>1890000</v>
      </c>
      <c r="M35" s="26"/>
    </row>
    <row r="36" spans="1:13" x14ac:dyDescent="0.2">
      <c r="A36" s="48"/>
      <c r="B36" s="39"/>
      <c r="C36" s="39" t="s">
        <v>31</v>
      </c>
      <c r="D36" s="39"/>
      <c r="E36" s="39"/>
      <c r="F36" s="49"/>
      <c r="G36" s="50">
        <f>ROUND(G18-G35,5)</f>
        <v>-152621</v>
      </c>
      <c r="H36" s="1"/>
      <c r="J36" s="24">
        <v>7</v>
      </c>
      <c r="K36" s="24" t="s">
        <v>90</v>
      </c>
      <c r="L36" s="26">
        <v>216000</v>
      </c>
      <c r="M36" s="26"/>
    </row>
    <row r="37" spans="1:13" x14ac:dyDescent="0.2">
      <c r="A37" s="48"/>
      <c r="B37" s="39"/>
      <c r="C37" s="39"/>
      <c r="D37" s="39" t="s">
        <v>32</v>
      </c>
      <c r="E37" s="39"/>
      <c r="F37" s="49"/>
      <c r="G37" s="50"/>
      <c r="H37" s="1"/>
      <c r="J37" s="24"/>
      <c r="K37" s="24" t="s">
        <v>91</v>
      </c>
      <c r="L37" s="26">
        <v>4821375</v>
      </c>
      <c r="M37" s="26">
        <f>SUM(M30:M36)</f>
        <v>361750</v>
      </c>
    </row>
    <row r="38" spans="1:13" x14ac:dyDescent="0.2">
      <c r="A38" s="48"/>
      <c r="B38" s="39"/>
      <c r="C38" s="39"/>
      <c r="D38" s="39"/>
      <c r="E38" s="39" t="s">
        <v>34</v>
      </c>
      <c r="F38" s="49"/>
      <c r="G38" s="62">
        <v>336505.14</v>
      </c>
      <c r="H38" s="1"/>
      <c r="J38" s="24"/>
      <c r="K38" s="24"/>
      <c r="L38" s="26"/>
      <c r="M38" s="26"/>
    </row>
    <row r="39" spans="1:13" x14ac:dyDescent="0.2">
      <c r="A39" s="48"/>
      <c r="B39" s="39"/>
      <c r="C39" s="39"/>
      <c r="D39" s="39"/>
      <c r="E39" s="39" t="s">
        <v>35</v>
      </c>
      <c r="F39" s="49"/>
      <c r="G39" s="62">
        <v>442880</v>
      </c>
      <c r="H39" s="1"/>
      <c r="J39" s="24"/>
      <c r="K39" s="24" t="s">
        <v>92</v>
      </c>
      <c r="L39" s="26">
        <v>1353126.5825599418</v>
      </c>
      <c r="M39" s="26">
        <f>M37-M27</f>
        <v>-1320432.6600000001</v>
      </c>
    </row>
    <row r="40" spans="1:13" x14ac:dyDescent="0.2">
      <c r="A40" s="48"/>
      <c r="B40" s="39"/>
      <c r="C40" s="39"/>
      <c r="D40" s="39"/>
      <c r="E40" s="39" t="s">
        <v>102</v>
      </c>
      <c r="F40" s="49"/>
      <c r="G40" s="62">
        <v>162600</v>
      </c>
      <c r="H40" s="1"/>
    </row>
    <row r="41" spans="1:13" x14ac:dyDescent="0.2">
      <c r="A41" s="48"/>
      <c r="B41" s="39"/>
      <c r="C41" s="39"/>
      <c r="D41" s="39"/>
      <c r="E41" s="39" t="s">
        <v>103</v>
      </c>
      <c r="F41" s="49"/>
      <c r="G41" s="62">
        <v>20955.62</v>
      </c>
      <c r="H41" s="1"/>
    </row>
    <row r="42" spans="1:13" x14ac:dyDescent="0.2">
      <c r="A42" s="48"/>
      <c r="B42" s="39"/>
      <c r="C42" s="39"/>
      <c r="D42" s="39"/>
      <c r="E42" s="39" t="s">
        <v>104</v>
      </c>
      <c r="F42" s="49"/>
      <c r="G42" s="62">
        <v>5238.8999999999996</v>
      </c>
      <c r="H42" s="1"/>
    </row>
    <row r="43" spans="1:13" x14ac:dyDescent="0.2">
      <c r="A43" s="48"/>
      <c r="B43" s="39"/>
      <c r="C43" s="39"/>
      <c r="D43" s="39"/>
      <c r="E43" s="39" t="s">
        <v>105</v>
      </c>
      <c r="F43" s="49"/>
      <c r="G43" s="50">
        <v>0</v>
      </c>
      <c r="H43" s="1"/>
    </row>
    <row r="44" spans="1:13" x14ac:dyDescent="0.2">
      <c r="A44" s="48"/>
      <c r="B44" s="39"/>
      <c r="C44" s="39"/>
      <c r="D44" s="39"/>
      <c r="E44" s="39" t="s">
        <v>106</v>
      </c>
      <c r="F44" s="49"/>
      <c r="G44" s="62">
        <v>75000</v>
      </c>
      <c r="H44" s="1"/>
    </row>
    <row r="45" spans="1:13" x14ac:dyDescent="0.2">
      <c r="A45" s="48"/>
      <c r="B45" s="39"/>
      <c r="C45" s="39"/>
      <c r="D45" s="39"/>
      <c r="E45" s="39" t="s">
        <v>107</v>
      </c>
      <c r="F45" s="49"/>
      <c r="G45" s="50">
        <v>0</v>
      </c>
      <c r="H45" s="1"/>
    </row>
    <row r="46" spans="1:13" x14ac:dyDescent="0.2">
      <c r="A46" s="48"/>
      <c r="B46" s="39"/>
      <c r="C46" s="39"/>
      <c r="D46" s="39"/>
      <c r="E46" s="39" t="s">
        <v>36</v>
      </c>
      <c r="F46" s="49"/>
      <c r="G46" s="62">
        <v>37325</v>
      </c>
      <c r="H46" s="1"/>
    </row>
    <row r="47" spans="1:13" x14ac:dyDescent="0.2">
      <c r="A47" s="48"/>
      <c r="B47" s="39"/>
      <c r="C47" s="39"/>
      <c r="D47" s="39"/>
      <c r="E47" s="39" t="s">
        <v>37</v>
      </c>
      <c r="F47" s="49"/>
      <c r="G47" s="62">
        <v>5505</v>
      </c>
      <c r="H47" s="1"/>
    </row>
    <row r="48" spans="1:13" x14ac:dyDescent="0.2">
      <c r="A48" s="48"/>
      <c r="B48" s="39"/>
      <c r="C48" s="39"/>
      <c r="D48" s="39"/>
      <c r="E48" s="39" t="s">
        <v>38</v>
      </c>
      <c r="F48" s="49"/>
      <c r="G48" s="62">
        <v>41840</v>
      </c>
      <c r="H48" s="1"/>
    </row>
    <row r="49" spans="1:8" x14ac:dyDescent="0.2">
      <c r="A49" s="48"/>
      <c r="B49" s="39"/>
      <c r="C49" s="39"/>
      <c r="D49" s="39"/>
      <c r="E49" s="39" t="s">
        <v>39</v>
      </c>
      <c r="F49" s="49"/>
      <c r="G49" s="50">
        <v>0</v>
      </c>
      <c r="H49" s="1"/>
    </row>
    <row r="50" spans="1:8" x14ac:dyDescent="0.2">
      <c r="A50" s="48"/>
      <c r="B50" s="39"/>
      <c r="C50" s="39"/>
      <c r="D50" s="39"/>
      <c r="E50" s="39" t="s">
        <v>41</v>
      </c>
      <c r="F50" s="49"/>
      <c r="G50" s="50">
        <v>0</v>
      </c>
      <c r="H50" s="1"/>
    </row>
    <row r="51" spans="1:8" x14ac:dyDescent="0.2">
      <c r="A51" s="48"/>
      <c r="B51" s="39"/>
      <c r="C51" s="39"/>
      <c r="D51" s="39"/>
      <c r="E51" s="39" t="s">
        <v>108</v>
      </c>
      <c r="F51" s="49"/>
      <c r="G51" s="50">
        <v>0</v>
      </c>
      <c r="H51" s="1"/>
    </row>
    <row r="52" spans="1:8" x14ac:dyDescent="0.2">
      <c r="A52" s="48"/>
      <c r="B52" s="39"/>
      <c r="C52" s="39"/>
      <c r="D52" s="39"/>
      <c r="E52" s="39" t="s">
        <v>42</v>
      </c>
      <c r="F52" s="49"/>
      <c r="G52" s="62">
        <v>12875</v>
      </c>
      <c r="H52" s="1"/>
    </row>
    <row r="53" spans="1:8" x14ac:dyDescent="0.2">
      <c r="A53" s="48"/>
      <c r="B53" s="39"/>
      <c r="C53" s="39"/>
      <c r="D53" s="39"/>
      <c r="E53" s="39" t="s">
        <v>43</v>
      </c>
      <c r="F53" s="49"/>
      <c r="G53" s="62">
        <v>3100</v>
      </c>
      <c r="H53" s="1"/>
    </row>
    <row r="54" spans="1:8" x14ac:dyDescent="0.2">
      <c r="A54" s="48"/>
      <c r="B54" s="39"/>
      <c r="C54" s="39"/>
      <c r="D54" s="39"/>
      <c r="E54" s="39" t="s">
        <v>109</v>
      </c>
      <c r="F54" s="49"/>
      <c r="G54" s="50">
        <v>0</v>
      </c>
      <c r="H54" s="1"/>
    </row>
    <row r="55" spans="1:8" x14ac:dyDescent="0.2">
      <c r="A55" s="48"/>
      <c r="B55" s="39"/>
      <c r="C55" s="39"/>
      <c r="D55" s="39"/>
      <c r="E55" s="39" t="s">
        <v>44</v>
      </c>
      <c r="F55" s="49"/>
      <c r="G55" s="50">
        <v>3790</v>
      </c>
      <c r="H55" s="1"/>
    </row>
    <row r="56" spans="1:8" x14ac:dyDescent="0.2">
      <c r="A56" s="48"/>
      <c r="B56" s="39"/>
      <c r="C56" s="39"/>
      <c r="D56" s="39"/>
      <c r="E56" s="39" t="s">
        <v>46</v>
      </c>
      <c r="F56" s="49"/>
      <c r="G56" s="50">
        <v>5980</v>
      </c>
      <c r="H56" s="1"/>
    </row>
    <row r="57" spans="1:8" x14ac:dyDescent="0.2">
      <c r="A57" s="48"/>
      <c r="B57" s="39"/>
      <c r="C57" s="39"/>
      <c r="D57" s="39"/>
      <c r="E57" s="39" t="s">
        <v>47</v>
      </c>
      <c r="F57" s="49"/>
      <c r="G57" s="62">
        <v>7762</v>
      </c>
      <c r="H57" s="1"/>
    </row>
    <row r="58" spans="1:8" x14ac:dyDescent="0.2">
      <c r="A58" s="48"/>
      <c r="B58" s="39"/>
      <c r="C58" s="39"/>
      <c r="D58" s="39"/>
      <c r="E58" s="39" t="s">
        <v>110</v>
      </c>
      <c r="F58" s="49"/>
      <c r="G58" s="50">
        <v>0</v>
      </c>
      <c r="H58" s="1"/>
    </row>
    <row r="59" spans="1:8" x14ac:dyDescent="0.2">
      <c r="A59" s="48"/>
      <c r="B59" s="39"/>
      <c r="C59" s="39"/>
      <c r="D59" s="39"/>
      <c r="E59" s="39" t="s">
        <v>111</v>
      </c>
      <c r="F59" s="49"/>
      <c r="G59" s="50">
        <v>0</v>
      </c>
      <c r="H59" s="1"/>
    </row>
    <row r="60" spans="1:8" ht="16" thickBot="1" x14ac:dyDescent="0.25">
      <c r="A60" s="48"/>
      <c r="B60" s="39"/>
      <c r="C60" s="39"/>
      <c r="D60" s="39"/>
      <c r="E60" s="39" t="s">
        <v>48</v>
      </c>
      <c r="F60" s="49"/>
      <c r="G60" s="63">
        <v>6455</v>
      </c>
      <c r="H60" s="1"/>
    </row>
    <row r="61" spans="1:8" ht="16" thickBot="1" x14ac:dyDescent="0.25">
      <c r="A61" s="48"/>
      <c r="B61" s="39"/>
      <c r="C61" s="39"/>
      <c r="D61" s="39" t="s">
        <v>49</v>
      </c>
      <c r="E61" s="39"/>
      <c r="F61" s="49"/>
      <c r="G61" s="52">
        <f>ROUND(SUM(G37:G60),5)</f>
        <v>1167811.6599999999</v>
      </c>
      <c r="H61" s="1"/>
    </row>
    <row r="62" spans="1:8" x14ac:dyDescent="0.2">
      <c r="A62" s="48"/>
      <c r="B62" s="39" t="s">
        <v>50</v>
      </c>
      <c r="C62" s="39"/>
      <c r="D62" s="39"/>
      <c r="E62" s="39"/>
      <c r="F62" s="49"/>
      <c r="G62" s="50">
        <f>ROUND(G6+G36-G61,5)</f>
        <v>-1320432.6599999999</v>
      </c>
      <c r="H62" s="1"/>
    </row>
    <row r="63" spans="1:8" x14ac:dyDescent="0.2">
      <c r="A63" s="48"/>
      <c r="B63" s="39" t="s">
        <v>51</v>
      </c>
      <c r="C63" s="39"/>
      <c r="D63" s="39"/>
      <c r="E63" s="39"/>
      <c r="F63" s="49"/>
      <c r="G63" s="50"/>
      <c r="H63" s="1"/>
    </row>
    <row r="64" spans="1:8" x14ac:dyDescent="0.2">
      <c r="A64" s="48"/>
      <c r="B64" s="39"/>
      <c r="C64" s="39" t="s">
        <v>52</v>
      </c>
      <c r="D64" s="39"/>
      <c r="E64" s="39"/>
      <c r="F64" s="49"/>
      <c r="G64" s="50"/>
      <c r="H64" s="1"/>
    </row>
    <row r="65" spans="1:13" ht="16" thickBot="1" x14ac:dyDescent="0.25">
      <c r="A65" s="48"/>
      <c r="B65" s="39"/>
      <c r="C65" s="39"/>
      <c r="D65" s="39" t="s">
        <v>53</v>
      </c>
      <c r="E65" s="39"/>
      <c r="F65" s="49"/>
      <c r="G65" s="51">
        <v>0</v>
      </c>
      <c r="H65" s="1"/>
    </row>
    <row r="66" spans="1:13" x14ac:dyDescent="0.2">
      <c r="A66" s="48"/>
      <c r="B66" s="39"/>
      <c r="C66" s="39" t="s">
        <v>54</v>
      </c>
      <c r="D66" s="39"/>
      <c r="E66" s="39"/>
      <c r="F66" s="49"/>
      <c r="G66" s="50">
        <f>ROUND(SUM(G64:G65),5)</f>
        <v>0</v>
      </c>
      <c r="H66" s="1"/>
    </row>
    <row r="67" spans="1:13" ht="16" thickBot="1" x14ac:dyDescent="0.25">
      <c r="A67" s="48"/>
      <c r="B67" s="39"/>
      <c r="C67" s="39" t="s">
        <v>55</v>
      </c>
      <c r="D67" s="39"/>
      <c r="E67" s="39"/>
      <c r="F67" s="49"/>
      <c r="G67" s="50"/>
      <c r="H67" s="1"/>
    </row>
    <row r="68" spans="1:13" ht="16" thickBot="1" x14ac:dyDescent="0.25">
      <c r="A68" s="48"/>
      <c r="B68" s="39"/>
      <c r="C68" s="39" t="s">
        <v>57</v>
      </c>
      <c r="D68" s="39"/>
      <c r="E68" s="39"/>
      <c r="F68" s="49"/>
      <c r="G68" s="52">
        <f>ROUND(SUM(G67:G67),5)</f>
        <v>0</v>
      </c>
      <c r="H68" s="1"/>
    </row>
    <row r="69" spans="1:13" ht="16" thickBot="1" x14ac:dyDescent="0.25">
      <c r="A69" s="48"/>
      <c r="B69" s="39" t="s">
        <v>58</v>
      </c>
      <c r="C69" s="39"/>
      <c r="D69" s="39"/>
      <c r="E69" s="39"/>
      <c r="F69" s="49"/>
      <c r="G69" s="52">
        <f>ROUND(G63+G66-G68,5)</f>
        <v>0</v>
      </c>
      <c r="H69" s="1"/>
    </row>
    <row r="70" spans="1:13" s="55" customFormat="1" ht="16" thickBot="1" x14ac:dyDescent="0.25">
      <c r="A70" s="48" t="s">
        <v>59</v>
      </c>
      <c r="B70" s="39"/>
      <c r="C70" s="39"/>
      <c r="D70" s="39"/>
      <c r="E70" s="39"/>
      <c r="F70" s="49"/>
      <c r="G70" s="53">
        <f>ROUND(G62+G69,5)</f>
        <v>-1320432.6599999999</v>
      </c>
      <c r="H70" s="54"/>
      <c r="J70"/>
      <c r="K70"/>
      <c r="L70"/>
      <c r="M70"/>
    </row>
    <row r="71" spans="1:13" ht="16" thickTop="1" x14ac:dyDescent="0.2">
      <c r="A71" s="56"/>
      <c r="B71" s="54"/>
      <c r="C71" s="54"/>
      <c r="D71" s="54"/>
      <c r="E71" s="54"/>
      <c r="F71" s="57"/>
      <c r="G71" s="58"/>
      <c r="H71" s="1"/>
    </row>
    <row r="72" spans="1:13" ht="16" thickBot="1" x14ac:dyDescent="0.25">
      <c r="A72" s="59"/>
      <c r="B72" s="60"/>
      <c r="C72" s="60"/>
      <c r="D72" s="60"/>
      <c r="E72" s="60"/>
      <c r="F72" s="61"/>
      <c r="G72" s="23"/>
      <c r="H72" s="1"/>
    </row>
    <row r="73" spans="1:13" x14ac:dyDescent="0.2">
      <c r="A73" s="54"/>
      <c r="B73" s="54"/>
      <c r="C73" s="54"/>
      <c r="D73" s="54"/>
      <c r="E73" s="54"/>
      <c r="F73" s="54"/>
      <c r="G73" s="1"/>
      <c r="H73" s="1"/>
    </row>
    <row r="74" spans="1:13" x14ac:dyDescent="0.2">
      <c r="A74" s="54"/>
      <c r="B74" s="54"/>
      <c r="C74" s="54"/>
      <c r="D74" s="54"/>
      <c r="E74" s="54"/>
      <c r="F74" s="54"/>
      <c r="G74" s="1"/>
      <c r="H74" s="1"/>
    </row>
    <row r="75" spans="1:13" x14ac:dyDescent="0.2">
      <c r="A75" s="54"/>
      <c r="B75" s="54"/>
      <c r="C75" s="54"/>
      <c r="D75" s="54"/>
      <c r="E75" s="54"/>
      <c r="F75" s="54"/>
      <c r="G75" s="1"/>
      <c r="H75" s="1"/>
    </row>
    <row r="76" spans="1:13" x14ac:dyDescent="0.2">
      <c r="A76" s="54"/>
      <c r="B76" s="54"/>
      <c r="C76" s="54"/>
      <c r="D76" s="54"/>
      <c r="E76" s="54"/>
      <c r="F76" s="54"/>
      <c r="G76" s="1"/>
      <c r="H76" s="1"/>
    </row>
    <row r="77" spans="1:13" x14ac:dyDescent="0.2">
      <c r="A77" s="54"/>
      <c r="B77" s="54"/>
      <c r="C77" s="54"/>
      <c r="D77" s="54"/>
      <c r="E77" s="54"/>
      <c r="F77" s="54"/>
      <c r="G77" s="1"/>
      <c r="H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Onestep Assigment</dc:creator>
  <cp:lastModifiedBy>Microsoft Office User</cp:lastModifiedBy>
  <dcterms:created xsi:type="dcterms:W3CDTF">2026-05-08T09:56:42Z</dcterms:created>
  <dcterms:modified xsi:type="dcterms:W3CDTF">2026-05-14T11:00:23Z</dcterms:modified>
</cp:coreProperties>
</file>